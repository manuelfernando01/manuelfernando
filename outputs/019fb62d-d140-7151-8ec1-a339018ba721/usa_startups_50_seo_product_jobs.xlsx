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69a032e06548c2" /></Relationships>
</file>

<file path=xl/workbook.xml><?xml version="1.0" encoding="utf-8"?>
<x:workbook xmlns:x="http://schemas.openxmlformats.org/spreadsheetml/2006/main">
  <x:sheets>
    <x:sheet xmlns:r="http://schemas.openxmlformats.org/officeDocument/2006/relationships" name="Dashboard" sheetId="1" r:id="R1d57f9480aa843db"/>
    <x:sheet xmlns:r="http://schemas.openxmlformats.org/officeDocument/2006/relationships" name="Opportunities" sheetId="2" r:id="R000511d7eeb144a8"/>
    <x:sheet xmlns:r="http://schemas.openxmlformats.org/officeDocument/2006/relationships" name="Sources" sheetId="3" r:id="Rf74efeddde0547d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yyyy-mm-dd"/>
  </x:numFmts>
  <x:fonts count="11">
    <x:font>
      <x:sz val="11"/>
      <x:name val="Carlito"/>
    </x:font>
    <x:font>
      <x:b/>
      <x:sz val="20"/>
      <x:color rgb="FFFFFFFF"/>
      <x:name val="Carlito"/>
    </x:font>
    <x:font>
      <x:i/>
      <x:sz val="10"/>
      <x:color rgb="FF304B5F"/>
      <x:name val="Carlito"/>
    </x:font>
    <x:font>
      <x:b/>
      <x:sz val="9"/>
      <x:color rgb="FF5D7485"/>
      <x:name val="Carlito"/>
    </x:font>
    <x:font>
      <x:b/>
      <x:sz val="18"/>
      <x:color rgb="FF173F5F"/>
      <x:name val="Carlito"/>
    </x:font>
    <x:font>
      <x:b/>
      <x:sz val="18"/>
      <x:color rgb="FF177245"/>
      <x:name val="Carlito"/>
    </x:font>
    <x:font>
      <x:b/>
      <x:sz val="18"/>
      <x:color rgb="FFA66500"/>
      <x:name val="Carlito"/>
    </x:font>
    <x:font>
      <x:b/>
      <x:sz val="11"/>
      <x:color rgb="FFFFFFFF"/>
      <x:name val="Carlito"/>
    </x:font>
    <x:font>
      <x:b/>
      <x:sz val="11"/>
      <x:color rgb="FF173F5F"/>
      <x:name val="Carlito"/>
    </x:font>
    <x:font>
      <x:sz val="10"/>
      <x:color rgb="FF304B5F"/>
      <x:name val="Carlito"/>
    </x:font>
    <x:font>
      <x:b/>
      <x:sz val="9"/>
      <x:color rgb="FFFFFFFF"/>
      <x:name val="Carlito"/>
    </x:font>
  </x:fonts>
  <x:fills count="10">
    <x:fill>
      <x:patternFill patternType="none"/>
    </x:fill>
    <x:fill>
      <x:patternFill patternType="gray125"/>
    </x:fill>
    <x:fill>
      <x:patternFill patternType="solid">
        <x:fgColor rgb="FF173F5F"/>
      </x:patternFill>
    </x:fill>
    <x:fill>
      <x:patternFill patternType="solid">
        <x:fgColor rgb="FFEAF2F8"/>
      </x:patternFill>
    </x:fill>
    <x:fill>
      <x:patternFill patternType="solid">
        <x:fgColor rgb="FFF7FAFC"/>
      </x:patternFill>
    </x:fill>
    <x:fill>
      <x:patternFill patternType="solid">
        <x:fgColor rgb="FFDCE8F1"/>
      </x:patternFill>
    </x:fill>
    <x:fill>
      <x:patternFill patternType="solid">
        <x:fgColor rgb="FFDDF3E7"/>
      </x:patternFill>
    </x:fill>
    <x:fill>
      <x:patternFill patternType="solid">
        <x:fgColor rgb="FFFFF0D8"/>
      </x:patternFill>
    </x:fill>
    <x:fill>
      <x:patternFill patternType="solid">
        <x:fgColor rgb="FFF9DDDD"/>
      </x:patternFill>
    </x:fill>
    <x:fill>
      <x:patternFill patternType="solid">
        <x:fgColor rgb="FF20639B"/>
      </x:patternFill>
    </x:fill>
  </x:fills>
  <x:borders count="12">
    <x:border/>
    <x:border>
      <x:left style="thin">
        <x:color rgb="FFB8C9D6"/>
      </x:left>
      <x:top style="thin">
        <x:color rgb="FFB8C9D6"/>
      </x:top>
    </x:border>
    <x:border>
      <x:right style="thin">
        <x:color rgb="FFB8C9D6"/>
      </x:right>
      <x:top style="thin">
        <x:color rgb="FFB8C9D6"/>
      </x:top>
    </x:border>
    <x:border>
      <x:left style="thin">
        <x:color rgb="FFB8C9D6"/>
      </x:left>
      <x:bottom style="thin">
        <x:color rgb="FFB8C9D6"/>
      </x:bottom>
    </x:border>
    <x:border>
      <x:right style="thin">
        <x:color rgb="FFB8C9D6"/>
      </x:right>
      <x:bottom style="thin">
        <x:color rgb="FFB8C9D6"/>
      </x:bottom>
    </x:border>
    <x:border>
      <x:right style="thin">
        <x:color rgb="FFB8C9D6"/>
      </x:right>
    </x:border>
    <x:border>
      <x:left style="thin">
        <x:color rgb="FFB8C9D6"/>
      </x:left>
    </x:border>
    <x:border>
      <x:bottom style="thin">
        <x:color rgb="FFD7E1E8"/>
      </x:bottom>
    </x:border>
    <x:border>
      <x:top style="thin">
        <x:color rgb="FFD7E1E8"/>
      </x:top>
      <x:bottom style="thin">
        <x:color rgb="FFD7E1E8"/>
      </x:bottom>
    </x:border>
    <x:border>
      <x:top style="thin">
        <x:color rgb="FFD7E1E8"/>
      </x:top>
      <x:bottom style="thin">
        <x:color rgb="FFB8C9D6"/>
      </x:bottom>
    </x:border>
    <x:border>
      <x:top style="thin">
        <x:color rgb="FFB8C9D6"/>
      </x:top>
    </x:border>
    <x:border>
      <x:bottom style="thin">
        <x:color rgb="FFB8C9D6"/>
      </x:bottom>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4" fillId="4" borderId="3" xfId="0" applyNumberFormat="1" applyFont="1" applyFill="1" applyBorder="1"/>
    <x:xf numFmtId="0" fontId="4" fillId="4" borderId="4" xfId="0" applyNumberFormat="1" applyFont="1" applyFill="1" applyBorder="1"/>
    <x:xf numFmtId="0" fontId="4" fillId="4" borderId="3" xfId="0" applyNumberFormat="1" applyFont="1" applyFill="1" applyBorder="1" applyAlignment="1">
      <x:alignment vertical="center"/>
    </x:xf>
    <x:xf numFmtId="0" fontId="4" fillId="4" borderId="4" xfId="0" applyNumberFormat="1" applyFont="1" applyFill="1" applyBorder="1" applyAlignment="1">
      <x:alignment vertical="center"/>
    </x:xf>
    <x:xf numFmtId="0" fontId="5" fillId="4" borderId="3" xfId="0" applyNumberFormat="1" applyFont="1" applyFill="1" applyBorder="1"/>
    <x:xf numFmtId="0" fontId="5" fillId="4" borderId="4" xfId="0" applyNumberFormat="1" applyFont="1" applyFill="1" applyBorder="1"/>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6" fillId="4" borderId="3" xfId="0" applyNumberFormat="1" applyFont="1" applyFill="1" applyBorder="1"/>
    <x:xf numFmtId="0" fontId="6" fillId="4" borderId="4" xfId="0" applyNumberFormat="1" applyFont="1" applyFill="1" applyBorder="1"/>
    <x:xf numFmtId="0" fontId="6" fillId="4" borderId="3" xfId="0" applyNumberFormat="1" applyFont="1" applyFill="1" applyBorder="1" applyAlignment="1">
      <x:alignment vertical="center"/>
    </x:xf>
    <x:xf numFmtId="0" fontId="6" fillId="4" borderId="4" xfId="0" applyNumberFormat="1" applyFont="1" applyFill="1" applyBorder="1" applyAlignment="1">
      <x:alignment vertical="center"/>
    </x:xf>
    <x:xf numFmtId="200" fontId="4" fillId="4" borderId="3" xfId="0" applyNumberFormat="1" applyFont="1" applyFill="1" applyBorder="1" applyAlignment="1">
      <x:alignment vertical="center"/>
    </x:xf>
    <x:xf numFmtId="0" fontId="7" fillId="2" borderId="0" xfId="0" applyNumberFormat="1" applyFont="1" applyFill="1" applyBorder="1"/>
    <x:xf numFmtId="0" fontId="0" fillId="5" borderId="0" xfId="0" applyNumberFormat="1" applyFont="1" applyFill="1" applyBorder="1"/>
    <x:xf numFmtId="0" fontId="8" fillId="5" borderId="0" xfId="0" applyNumberFormat="1" applyFont="1" applyFill="1" applyBorder="1"/>
    <x:xf numFmtId="0" fontId="8" fillId="5" borderId="5" xfId="0" applyNumberFormat="1" applyFont="1" applyFill="1" applyBorder="1"/>
    <x:xf numFmtId="0" fontId="8" fillId="5"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8" fillId="5" borderId="6" xfId="0" applyNumberFormat="1" applyFont="1" applyFill="1" applyBorder="1" applyAlignment="1">
      <x:alignment horizontal="center"/>
    </x:xf>
    <x:xf numFmtId="0" fontId="0" fillId="0" borderId="7" xfId="0" applyNumberFormat="1" applyFont="1" applyFill="1" applyBorder="1" applyAlignment="1">
      <x:alignment horizontal="center"/>
    </x:xf>
    <x:xf numFmtId="0" fontId="0" fillId="0" borderId="8" xfId="0" applyNumberFormat="1" applyFont="1" applyFill="1" applyBorder="1" applyAlignment="1">
      <x:alignment horizontal="center"/>
    </x:xf>
    <x:xf numFmtId="0" fontId="0" fillId="0" borderId="9" xfId="0" applyNumberFormat="1" applyFont="1" applyFill="1" applyBorder="1" applyAlignment="1">
      <x:alignment horizontal="center"/>
    </x:xf>
    <x:xf numFmtId="0" fontId="8" fillId="0" borderId="0" xfId="0" applyNumberFormat="1" applyFont="1" applyFill="1" applyBorder="1"/>
    <x:xf numFmtId="0" fontId="8" fillId="0" borderId="1" xfId="0" applyNumberFormat="1" applyFont="1" applyFill="1" applyBorder="1"/>
    <x:xf numFmtId="0" fontId="0" fillId="0" borderId="10" xfId="0" applyNumberFormat="1" applyFont="1" applyFill="1" applyBorder="1"/>
    <x:xf numFmtId="0" fontId="0" fillId="0" borderId="2" xfId="0" applyNumberFormat="1" applyFont="1" applyFill="1" applyBorder="1"/>
    <x:xf numFmtId="0" fontId="8" fillId="0" borderId="6"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8" fillId="0" borderId="3" xfId="0" applyNumberFormat="1" applyFont="1" applyFill="1" applyBorder="1"/>
    <x:xf numFmtId="0" fontId="0" fillId="0" borderId="11" xfId="0" applyNumberFormat="1" applyFont="1" applyFill="1" applyBorder="1"/>
    <x:xf numFmtId="0" fontId="0" fillId="0" borderId="4" xfId="0" applyNumberFormat="1" applyFont="1" applyFill="1" applyBorder="1"/>
    <x:xf numFmtId="0" fontId="8" fillId="0" borderId="1"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wrapText="1"/>
    </x:xf>
    <x:xf numFmtId="0" fontId="8" fillId="0" borderId="6"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8" fillId="0" borderId="3"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4" xfId="0" applyNumberFormat="1" applyFont="1" applyFill="1" applyBorder="1" applyAlignment="1">
      <x:alignment wrapText="1"/>
    </x:xf>
    <x:xf numFmtId="0" fontId="8" fillId="0" borderId="1"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8" fillId="0" borderId="6"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8" fillId="0" borderId="3"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8" fillId="6" borderId="1" xfId="0" applyNumberFormat="1" applyFont="1" applyFill="1" applyBorder="1" applyAlignment="1">
      <x:alignment vertical="center" wrapText="1"/>
    </x:xf>
    <x:xf numFmtId="0" fontId="8" fillId="7" borderId="6" xfId="0" applyNumberFormat="1" applyFont="1" applyFill="1" applyBorder="1" applyAlignment="1">
      <x:alignment vertical="center" wrapText="1"/>
    </x:xf>
    <x:xf numFmtId="0" fontId="8" fillId="8" borderId="3" xfId="0" applyNumberFormat="1" applyFont="1" applyFill="1" applyBorder="1" applyAlignment="1">
      <x:alignment vertical="center" wrapText="1"/>
    </x:xf>
    <x:xf numFmtId="0" fontId="9" fillId="4" borderId="0" xfId="0" applyNumberFormat="1" applyFont="1" applyFill="1" applyBorder="1"/>
    <x:xf numFmtId="0" fontId="9" fillId="4" borderId="1" xfId="0" applyNumberFormat="1" applyFont="1" applyFill="1" applyBorder="1"/>
    <x:xf numFmtId="0" fontId="9" fillId="4" borderId="10" xfId="0" applyNumberFormat="1" applyFont="1" applyFill="1" applyBorder="1"/>
    <x:xf numFmtId="0" fontId="9" fillId="4" borderId="2" xfId="0" applyNumberFormat="1" applyFont="1" applyFill="1" applyBorder="1"/>
    <x:xf numFmtId="0" fontId="9" fillId="4" borderId="6" xfId="0" applyNumberFormat="1" applyFont="1" applyFill="1" applyBorder="1"/>
    <x:xf numFmtId="0" fontId="9" fillId="4" borderId="5" xfId="0" applyNumberFormat="1" applyFont="1" applyFill="1" applyBorder="1"/>
    <x:xf numFmtId="0" fontId="9" fillId="4" borderId="3" xfId="0" applyNumberFormat="1" applyFont="1" applyFill="1" applyBorder="1"/>
    <x:xf numFmtId="0" fontId="9" fillId="4" borderId="11" xfId="0" applyNumberFormat="1" applyFont="1" applyFill="1" applyBorder="1"/>
    <x:xf numFmtId="0" fontId="9" fillId="4" borderId="4" xfId="0" applyNumberFormat="1" applyFont="1" applyFill="1" applyBorder="1"/>
    <x:xf numFmtId="0" fontId="9" fillId="4" borderId="1" xfId="0" applyNumberFormat="1" applyFont="1" applyFill="1" applyBorder="1" applyAlignment="1">
      <x:alignment wrapText="1"/>
    </x:xf>
    <x:xf numFmtId="0" fontId="9" fillId="4" borderId="10" xfId="0" applyNumberFormat="1" applyFont="1" applyFill="1" applyBorder="1" applyAlignment="1">
      <x:alignment wrapText="1"/>
    </x:xf>
    <x:xf numFmtId="0" fontId="9" fillId="4" borderId="2"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0"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11"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1" xfId="0" applyNumberFormat="1" applyFont="1" applyFill="1" applyBorder="1" applyAlignment="1">
      <x:alignment vertical="center" wrapText="1"/>
    </x:xf>
    <x:xf numFmtId="0" fontId="9" fillId="4" borderId="10" xfId="0" applyNumberFormat="1" applyFont="1" applyFill="1" applyBorder="1" applyAlignment="1">
      <x:alignment vertical="center" wrapText="1"/>
    </x:xf>
    <x:xf numFmtId="0" fontId="9" fillId="4" borderId="2" xfId="0" applyNumberFormat="1" applyFont="1" applyFill="1" applyBorder="1" applyAlignment="1">
      <x:alignment vertical="center" wrapText="1"/>
    </x:xf>
    <x:xf numFmtId="0" fontId="9" fillId="4" borderId="6" xfId="0" applyNumberFormat="1" applyFont="1" applyFill="1" applyBorder="1" applyAlignment="1">
      <x:alignment vertical="center" wrapText="1"/>
    </x:xf>
    <x:xf numFmtId="0" fontId="9" fillId="4" borderId="0" xfId="0" applyNumberFormat="1" applyFont="1" applyFill="1" applyBorder="1" applyAlignment="1">
      <x:alignment vertical="center" wrapText="1"/>
    </x:xf>
    <x:xf numFmtId="0" fontId="9" fillId="4" borderId="5" xfId="0" applyNumberFormat="1" applyFont="1" applyFill="1" applyBorder="1" applyAlignment="1">
      <x:alignment vertical="center" wrapText="1"/>
    </x:xf>
    <x:xf numFmtId="0" fontId="9" fillId="4" borderId="3" xfId="0" applyNumberFormat="1" applyFont="1" applyFill="1" applyBorder="1" applyAlignment="1">
      <x:alignment vertical="center" wrapText="1"/>
    </x:xf>
    <x:xf numFmtId="0" fontId="9" fillId="4" borderId="11" xfId="0" applyNumberFormat="1" applyFont="1" applyFill="1" applyBorder="1" applyAlignment="1">
      <x:alignment vertical="center" wrapText="1"/>
    </x:xf>
    <x:xf numFmtId="0" fontId="9" fillId="4" borderId="4" xfId="0" applyNumberFormat="1" applyFont="1" applyFill="1" applyBorder="1" applyAlignment="1">
      <x:alignment vertical="center"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wrapText="1"/>
    </x:xf>
    <x:xf numFmtId="0" fontId="10" fillId="9" borderId="0" xfId="0" applyNumberFormat="1" applyFont="1" applyFill="1" applyBorder="1" applyAlignment="1">
      <x:alignment horizontal="center" wrapText="1"/>
    </x:xf>
    <x:xf numFmtId="0" fontId="10" fillId="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1" fontId="0" fillId="0" borderId="0"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wrapText="1"/>
    </x:xf>
    <x:xf numFmtId="202" fontId="0" fillId="0" borderId="0" xfId="0" applyNumberFormat="1" applyFont="1" applyFill="1" applyBorder="1" applyAlignment="1">
      <x:alignment horizontal="center" vertical="center"/>
    </x:xf>
    <x:xf numFmtId="0" fontId="8" fillId="0" borderId="0" xfId="0" applyNumberFormat="1" applyFont="1" applyFill="1" applyBorder="1" applyAlignment="1">
      <x:alignment vertical="center"/>
    </x:xf>
  </x:cellXfs>
  <x:cellStyles count="1">
    <x:cellStyle name="Normal" xfId="0"/>
  </x:cellStyles>
  <x:dxfs count="7">
    <x:dxf>
      <x:font>
        <x:b/>
        <x:color rgb="FF155E91"/>
      </x:font>
      <x:fill>
        <x:patternFill patternType="solid">
          <x:bgColor rgb="FFDCEEFF"/>
        </x:patternFill>
      </x:fill>
    </x:dxf>
    <x:dxf>
      <x:font>
        <x:b/>
        <x:color rgb="FF6542A6"/>
      </x:font>
      <x:fill>
        <x:patternFill patternType="solid">
          <x:bgColor rgb="FFECE4FA"/>
        </x:patternFill>
      </x:fill>
    </x:dxf>
    <x:dxf>
      <x:font>
        <x:b/>
        <x:color rgb="FFA75B00"/>
      </x:font>
      <x:fill>
        <x:patternFill patternType="solid">
          <x:bgColor rgb="FFFFF0D8"/>
        </x:patternFill>
      </x:fill>
    </x:dxf>
    <x:dxf>
      <x:font>
        <x:b/>
        <x:color rgb="FF177245"/>
      </x:font>
      <x:fill>
        <x:patternFill patternType="solid">
          <x:bgColor rgb="FFDDF3E7"/>
        </x:patternFill>
      </x:fill>
    </x:dxf>
    <x:dxf>
      <x:font>
        <x:b/>
        <x:color rgb="FF177245"/>
      </x:font>
      <x:fill>
        <x:patternFill patternType="solid">
          <x:bgColor rgb="FFDDF3E7"/>
        </x:patternFill>
      </x:fill>
    </x:dxf>
    <x:dxf>
      <x:font>
        <x:b/>
        <x:color rgb="FFA66500"/>
      </x:font>
      <x:fill>
        <x:patternFill patternType="solid">
          <x:bgColor rgb="FFFFF0D8"/>
        </x:patternFill>
      </x:fill>
    </x:dxf>
    <x:dxf>
      <x:font>
        <x:b/>
        <x:color rgb="FFA12B2B"/>
      </x:font>
      <x:fill>
        <x:patternFill patternType="solid">
          <x:bgColor rgb="FFF9DD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bbea62c1354cce" /><Relationship Type="http://schemas.openxmlformats.org/officeDocument/2006/relationships/theme" Target="/xl/theme/theme1.xml" Id="R088e7cd043e044b8" /><Relationship Type="http://schemas.openxmlformats.org/officeDocument/2006/relationships/sharedStrings" Target="/xl/sharedStrings.xml" Id="R87e5f17e5bd243d9" /><Relationship Type="http://schemas.openxmlformats.org/officeDocument/2006/relationships/worksheet" Target="/xl/worksheets/sheet1.xml" Id="R1d57f9480aa843db" /><Relationship Type="http://schemas.openxmlformats.org/officeDocument/2006/relationships/worksheet" Target="/xl/worksheets/sheet2.xml" Id="R000511d7eeb144a8" /><Relationship Type="http://schemas.openxmlformats.org/officeDocument/2006/relationships/worksheet" Target="/xl/worksheets/sheet3.xml" Id="Rf74efeddde0547d3" /></Relationships>
</file>

<file path=xl/tables/table1.xml><?xml version="1.0" encoding="utf-8"?>
<x:table xmlns:x="http://schemas.openxmlformats.org/spreadsheetml/2006/main" id="1" name="StartupOpportunitiesTable" displayName="StartupOpportunitiesTable" ref="A8:R58" headerRowCount="1" totalsRowCount="0" totalsRowShown="0">
  <x:autoFilter ref="A8:R58"/>
  <x:tableColumns count="18">
    <x:tableColumn id="1" name="Category"/>
    <x:tableColumn id="2" name="Company"/>
    <x:tableColumn id="3" name="Team Size"/>
    <x:tableColumn id="4" name="USA Location"/>
    <x:tableColumn id="5" name="What It Does"/>
    <x:tableColumn id="6" name="Hiring Now?"/>
    <x:tableColumn id="7" name="Open Jobs"/>
    <x:tableColumn id="8" name="Candidate Fit"/>
    <x:tableColumn id="9" name="Candidate Opportunity"/>
    <x:tableColumn id="10" name="Relevant Open Role(s)"/>
    <x:tableColumn id="11" name="Contact Target"/>
    <x:tableColumn id="12" name="Public Contact"/>
    <x:tableColumn id="13" name="Contact Title"/>
    <x:tableColumn id="14" name="Public Contact Link"/>
    <x:tableColumn id="15" name="Apply / Role Link"/>
    <x:tableColumn id="16" name="Website"/>
    <x:tableColumn id="17" name="YC Jobs Page"/>
    <x:tableColumn id="18" name="Checked On"/>
  </x:tableColumns>
  <x:tableStyleInfo name="TableStyleMedium2" showFirstColumn="0" showLastColumn="0" showRowStripes="1" showColumnStripes="0"/>
</x:table>
</file>

<file path=xl/tables/table2.xml><?xml version="1.0" encoding="utf-8"?>
<x:table xmlns:x="http://schemas.openxmlformats.org/spreadsheetml/2006/main" id="2" name="StartupSourcesTable" displayName="StartupSourcesTable" ref="A5:H55" headerRowCount="1" totalsRowCount="0" totalsRowShown="0">
  <x:autoFilter ref="A5:H55"/>
  <x:tableColumns count="8">
    <x:tableColumn id="1" name="Company"/>
    <x:tableColumn id="2" name="Category"/>
    <x:tableColumn id="3" name="Company Data API"/>
    <x:tableColumn id="4" name="YC Company Profile"/>
    <x:tableColumn id="5" name="YC Jobs Page"/>
    <x:tableColumn id="6" name="Company LinkedIn"/>
    <x:tableColumn id="7" name="Verified On"/>
    <x:tableColumn id="8" name="Sourc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ba9a1f017d41d8" /></Relationships>
</file>

<file path=xl/worksheets/_rels/sheet3.xml.rels>&#65279;<?xml version="1.0" encoding="utf-8"?><Relationships xmlns="http://schemas.openxmlformats.org/package/2006/relationships"><Relationship Type="http://schemas.openxmlformats.org/officeDocument/2006/relationships/table" Target="/xl/tables/table2.xml" Id="Ree1f56647a82447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3" hidden="0" customWidth="1"/>
    <x:col min="4" max="4" width="18" hidden="0" customWidth="1"/>
    <x:col min="5" max="5" width="18" hidden="0" customWidth="1"/>
    <x:col min="6" max="6" width="4" hidden="0" customWidth="1"/>
    <x:col min="7" max="7" width="18" hidden="0" customWidth="1"/>
    <x:col min="8" max="8" width="26" hidden="0" customWidth="1"/>
  </x:cols>
  <x:sheetData>
    <x:row r="1" ht="36" customHeight="1">
      <x:c r="A1" s="3" t="str">
        <x:v>50 Small U.S. Startup Job Opportunities</x:v>
      </x:c>
      <x:c r="B1" s="3"/>
      <x:c r="C1" s="3"/>
      <x:c r="D1" s="3"/>
      <x:c r="E1" s="3"/>
      <x:c r="F1" s="3"/>
      <x:c r="G1" s="3"/>
      <x:c r="H1" s="3"/>
    </x:row>
    <x:row r="2" ht="30" customHeight="1">
      <x:c r="A2" s="7" t="str">
        <x:v>SEO, growth, marketing, and product-management outreach list. All companies report fewer than 10 team members and current job openings.</x:v>
      </x:c>
      <x:c r="B2" s="7"/>
      <x:c r="C2" s="7"/>
      <x:c r="D2" s="7"/>
      <x:c r="E2" s="7"/>
      <x:c r="F2" s="7"/>
      <x:c r="G2" s="7"/>
      <x:c r="H2" s="7"/>
    </x:row>
    <x:row r="4">
      <x:c r="A4" s="15" t="str">
        <x:v>COMPANIES</x:v>
      </x:c>
      <x:c r="B4" s="16"/>
      <x:c r="D4" s="15" t="str">
        <x:v>DIRECT MATCHES</x:v>
      </x:c>
      <x:c r="E4" s="16"/>
      <x:c r="G4" s="15" t="str">
        <x:v>TOTAL OPEN JOBS</x:v>
      </x:c>
      <x:c r="H4" s="16"/>
    </x:row>
    <x:row r="5">
      <x:c r="A5" s="19" t="n">
        <x:f>COUNTA('Opportunities'!B9:B58)</x:f>
        <x:v>50</x:v>
      </x:c>
      <x:c r="B5" s="20"/>
      <x:c r="D5" s="23" t="n">
        <x:f>COUNTIF('Opportunities'!H9:H58,"Direct match")</x:f>
        <x:v>25</x:v>
      </x:c>
      <x:c r="E5" s="24"/>
      <x:c r="G5" s="19" t="n">
        <x:f>SUM('Opportunities'!G9:G58)</x:f>
        <x:v>126</x:v>
      </x:c>
      <x:c r="H5" s="20"/>
    </x:row>
    <x:row r="7">
      <x:c r="A7" s="15" t="str">
        <x:v>ADJACENT MATCHES</x:v>
      </x:c>
      <x:c r="B7" s="16"/>
      <x:c r="D7" s="15" t="str">
        <x:v>AVG. TEAM SIZE</x:v>
      </x:c>
      <x:c r="E7" s="16"/>
      <x:c r="G7" s="15" t="str">
        <x:v>HIRING NOW</x:v>
      </x:c>
      <x:c r="H7" s="16"/>
    </x:row>
    <x:row r="8">
      <x:c r="A8" s="27" t="n">
        <x:f>COUNTIF('Opportunities'!H9:H58,"Adjacent match")</x:f>
        <x:v>20</x:v>
      </x:c>
      <x:c r="B8" s="28"/>
      <x:c r="D8" s="29" t="n">
        <x:f>AVERAGE('Opportunities'!C9:C58)</x:f>
        <x:v>4.32</x:v>
      </x:c>
      <x:c r="E8" s="20"/>
      <x:c r="G8" s="23" t="n">
        <x:f>COUNTIF('Opportunities'!F9:F58,"Yes")</x:f>
        <x:v>50</x:v>
      </x:c>
      <x:c r="H8" s="24"/>
    </x:row>
    <x:row r="11">
      <x:c r="A11" s="30" t="str">
        <x:v>Category Breakdown</x:v>
      </x:c>
      <x:c r="B11" s="30"/>
      <x:c r="C11" s="30"/>
      <x:c r="E11" s="30" t="str">
        <x:v>Candidate-Fit Key</x:v>
      </x:c>
      <x:c r="F11" s="30"/>
      <x:c r="G11" s="30"/>
      <x:c r="H11" s="30"/>
    </x:row>
    <x:row r="12" ht="44" customHeight="1">
      <x:c r="A12" s="33" t="str">
        <x:v>Category</x:v>
      </x:c>
      <x:c r="B12" s="38" t="str">
        <x:v>Companies</x:v>
      </x:c>
      <x:c r="E12" s="70" t="str">
        <x:v>Direct match</x:v>
      </x:c>
      <x:c r="F12" s="62" t="str">
        <x:v>A current SEO, marketing, growth, content, or product-management role is listed.</x:v>
      </x:c>
      <x:c r="G12" s="62"/>
      <x:c r="H12" s="63"/>
    </x:row>
    <x:row r="13" ht="44" customHeight="1">
      <x:c r="A13" s="35" t="str">
        <x:v>Web</x:v>
      </x:c>
      <x:c r="B13" s="39" t="n">
        <x:f>COUNTIF('Opportunities'!A9:A58,A13)</x:f>
        <x:v>16</x:v>
      </x:c>
      <x:c r="E13" s="71" t="str">
        <x:v>Adjacent match</x:v>
      </x:c>
      <x:c r="F13" s="65" t="str">
        <x:v>A related product, design, GTM, customer success, sales, or operations role is listed.</x:v>
      </x:c>
      <x:c r="G13" s="65"/>
      <x:c r="H13" s="66"/>
    </x:row>
    <x:row r="14" ht="44" customHeight="1">
      <x:c r="A14" s="36" t="str">
        <x:v>Software</x:v>
      </x:c>
      <x:c r="B14" s="40" t="n">
        <x:f>COUNTIF('Opportunities'!A10:A59,A14)</x:f>
        <x:v>17</x:v>
      </x:c>
      <x:c r="E14" s="72" t="str">
        <x:v>No direct match</x:v>
      </x:c>
      <x:c r="F14" s="68" t="str">
        <x:v>The startup is hiring, but no direct SEO/product role was found.</x:v>
      </x:c>
      <x:c r="G14" s="68"/>
      <x:c r="H14" s="69"/>
    </x:row>
    <x:row r="15">
      <x:c r="A15" s="37" t="str">
        <x:v>AI</x:v>
      </x:c>
      <x:c r="B15" s="41" t="n">
        <x:f>COUNTIF('Opportunities'!A11:A60,A15)</x:f>
        <x:v>17</x:v>
      </x:c>
    </x:row>
    <x:row r="18">
      <x:c r="A18" s="30" t="str">
        <x:v>How to Use This List</x:v>
      </x:c>
      <x:c r="B18" s="30"/>
      <x:c r="C18" s="30"/>
      <x:c r="D18" s="30"/>
      <x:c r="E18" s="30"/>
      <x:c r="F18" s="30"/>
      <x:c r="G18" s="30"/>
      <x:c r="H18" s="30"/>
    </x:row>
    <x:row r="19">
      <x:c r="A19" s="91" t="str">
        <x:v>Filter the Opportunities sheet by Candidate Fit and Category. For direct matches, open the role link first and apply through the official listing. The public contact is a founder or company LinkedIn route because teams under 10 often do not publish dedicated SEO or product leaders. Personal emails are not inferred. Hiring changes quickly, so verify the dated job page before applying.</x:v>
      </x:c>
      <x:c r="B19" s="92"/>
      <x:c r="C19" s="92"/>
      <x:c r="D19" s="92"/>
      <x:c r="E19" s="92"/>
      <x:c r="F19" s="92"/>
      <x:c r="G19" s="92"/>
      <x:c r="H19" s="93"/>
    </x:row>
    <x:row r="20">
      <x:c r="A20" s="94"/>
      <x:c r="B20" s="95"/>
      <x:c r="C20" s="95"/>
      <x:c r="D20" s="95"/>
      <x:c r="E20" s="95"/>
      <x:c r="F20" s="95"/>
      <x:c r="G20" s="95"/>
      <x:c r="H20" s="96"/>
    </x:row>
    <x:row r="21">
      <x:c r="A21" s="94"/>
      <x:c r="B21" s="95"/>
      <x:c r="C21" s="95"/>
      <x:c r="D21" s="95"/>
      <x:c r="E21" s="95"/>
      <x:c r="F21" s="95"/>
      <x:c r="G21" s="95"/>
      <x:c r="H21" s="96"/>
    </x:row>
    <x:row r="22">
      <x:c r="A22" s="97"/>
      <x:c r="B22" s="98"/>
      <x:c r="C22" s="98"/>
      <x:c r="D22" s="98"/>
      <x:c r="E22" s="98"/>
      <x:c r="F22" s="98"/>
      <x:c r="G22" s="98"/>
      <x:c r="H22" s="99"/>
    </x:row>
  </x:sheetData>
  <x:mergeCells>
    <x:mergeCell ref="A1:H1"/>
    <x:mergeCell ref="A2:H2"/>
    <x:mergeCell ref="A4:B4"/>
    <x:mergeCell ref="A5:B5"/>
    <x:mergeCell ref="D4:E4"/>
    <x:mergeCell ref="D5:E5"/>
    <x:mergeCell ref="G4:H4"/>
    <x:mergeCell ref="G5:H5"/>
    <x:mergeCell ref="A7:B7"/>
    <x:mergeCell ref="A8:B8"/>
    <x:mergeCell ref="D7:E7"/>
    <x:mergeCell ref="D8:E8"/>
    <x:mergeCell ref="G7:H7"/>
    <x:mergeCell ref="G8:H8"/>
    <x:mergeCell ref="A11:C11"/>
    <x:mergeCell ref="E11:H11"/>
    <x:mergeCell ref="F12:H12"/>
    <x:mergeCell ref="F13:H13"/>
    <x:mergeCell ref="F14:H14"/>
    <x:mergeCell ref="A18:H18"/>
    <x:mergeCell ref="A19: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10" hidden="0" customWidth="1"/>
    <x:col min="4" max="4" width="24" hidden="0" customWidth="1"/>
    <x:col min="5" max="5" width="42" hidden="0" customWidth="1"/>
    <x:col min="6" max="6" width="12" hidden="0" customWidth="1"/>
    <x:col min="7" max="7" width="10" hidden="0" customWidth="1"/>
    <x:col min="8" max="8" width="20" hidden="0" customWidth="1"/>
    <x:col min="9" max="9" width="25" hidden="0" customWidth="1"/>
    <x:col min="10" max="10" width="46" hidden="0" customWidth="1"/>
    <x:col min="11" max="11" width="33" hidden="0" customWidth="1"/>
    <x:col min="12" max="12" width="22" hidden="0" customWidth="1"/>
    <x:col min="13" max="13" width="20" hidden="0" customWidth="1"/>
    <x:col min="14" max="14" width="42" hidden="0" customWidth="1"/>
    <x:col min="15" max="15" width="52" hidden="0" customWidth="1"/>
    <x:col min="16" max="16" width="34" hidden="0" customWidth="1"/>
    <x:col min="17" max="17" width="50" hidden="0" customWidth="1"/>
    <x:col min="18" max="18" width="14" hidden="0" customWidth="1"/>
  </x:cols>
  <x:sheetData>
    <x:row r="1" ht="36" customHeight="1">
      <x:c r="A1" s="3" t="str">
        <x:v>Startup Opportunities — SEO &amp; Product Candidates</x:v>
      </x:c>
      <x:c r="B1" s="3"/>
      <x:c r="C1" s="3"/>
      <x:c r="D1" s="3"/>
      <x:c r="E1" s="3"/>
      <x:c r="F1" s="3"/>
      <x:c r="G1" s="3"/>
      <x:c r="H1" s="3"/>
      <x:c r="I1" s="3"/>
      <x:c r="J1" s="3"/>
      <x:c r="K1" s="3"/>
      <x:c r="L1" s="3"/>
      <x:c r="M1" s="3"/>
      <x:c r="N1" s="3"/>
      <x:c r="O1" s="3"/>
      <x:c r="P1" s="3"/>
      <x:c r="Q1" s="3"/>
      <x:c r="R1" s="3"/>
    </x:row>
    <x:row r="2" ht="30" customHeight="1">
      <x:c r="A2" s="7" t="str">
        <x:v>Public business-contact routes and current YC job listings, verified July 30, 2026. Candidate fit is based on listed role titles, not a hiring guarantee.</x:v>
      </x:c>
      <x:c r="B2" s="7"/>
      <x:c r="C2" s="7"/>
      <x:c r="D2" s="7"/>
      <x:c r="E2" s="7"/>
      <x:c r="F2" s="7"/>
      <x:c r="G2" s="7"/>
      <x:c r="H2" s="7"/>
      <x:c r="I2" s="7"/>
      <x:c r="J2" s="7"/>
      <x:c r="K2" s="7"/>
      <x:c r="L2" s="7"/>
      <x:c r="M2" s="7"/>
      <x:c r="N2" s="7"/>
      <x:c r="O2" s="7"/>
      <x:c r="P2" s="7"/>
      <x:c r="Q2" s="7"/>
      <x:c r="R2" s="7"/>
    </x:row>
    <x:row r="4">
      <x:c r="A4" s="91" t="str">
        <x:v>Selection criteria: Active startup; U.S. location; reported team size 1–9; public YC job listing available; primary category assigned as Web, Software, or AI. “Public Contact” is a founder/product decision-maker or company recruiting route shown publicly on YC.</x:v>
      </x:c>
      <x:c r="B4" s="92"/>
      <x:c r="C4" s="92"/>
      <x:c r="D4" s="92"/>
      <x:c r="E4" s="92"/>
      <x:c r="F4" s="92"/>
      <x:c r="G4" s="92"/>
      <x:c r="H4" s="92"/>
      <x:c r="I4" s="92"/>
      <x:c r="J4" s="92"/>
      <x:c r="K4" s="92"/>
      <x:c r="L4" s="92"/>
      <x:c r="M4" s="92"/>
      <x:c r="N4" s="92"/>
      <x:c r="O4" s="92"/>
      <x:c r="P4" s="92"/>
      <x:c r="Q4" s="92"/>
      <x:c r="R4" s="93"/>
    </x:row>
    <x:row r="5">
      <x:c r="A5" s="94"/>
      <x:c r="B5" s="95"/>
      <x:c r="C5" s="95"/>
      <x:c r="D5" s="95"/>
      <x:c r="E5" s="95"/>
      <x:c r="F5" s="95"/>
      <x:c r="G5" s="95"/>
      <x:c r="H5" s="95"/>
      <x:c r="I5" s="95"/>
      <x:c r="J5" s="95"/>
      <x:c r="K5" s="95"/>
      <x:c r="L5" s="95"/>
      <x:c r="M5" s="95"/>
      <x:c r="N5" s="95"/>
      <x:c r="O5" s="95"/>
      <x:c r="P5" s="95"/>
      <x:c r="Q5" s="95"/>
      <x:c r="R5" s="96"/>
    </x:row>
    <x:row r="6">
      <x:c r="A6" s="97"/>
      <x:c r="B6" s="98"/>
      <x:c r="C6" s="98"/>
      <x:c r="D6" s="98"/>
      <x:c r="E6" s="98"/>
      <x:c r="F6" s="98"/>
      <x:c r="G6" s="98"/>
      <x:c r="H6" s="98"/>
      <x:c r="I6" s="98"/>
      <x:c r="J6" s="98"/>
      <x:c r="K6" s="98"/>
      <x:c r="L6" s="98"/>
      <x:c r="M6" s="98"/>
      <x:c r="N6" s="98"/>
      <x:c r="O6" s="98"/>
      <x:c r="P6" s="98"/>
      <x:c r="Q6" s="98"/>
      <x:c r="R6" s="99"/>
    </x:row>
    <x:row r="8" ht="34" customHeight="1">
      <x:c r="A8" s="104" t="str">
        <x:v>Category</x:v>
      </x:c>
      <x:c r="B8" s="104" t="str">
        <x:v>Company</x:v>
      </x:c>
      <x:c r="C8" s="104" t="str">
        <x:v>Team Size</x:v>
      </x:c>
      <x:c r="D8" s="104" t="str">
        <x:v>USA Location</x:v>
      </x:c>
      <x:c r="E8" s="104" t="str">
        <x:v>What It Does</x:v>
      </x:c>
      <x:c r="F8" s="104" t="str">
        <x:v>Hiring Now?</x:v>
      </x:c>
      <x:c r="G8" s="104" t="str">
        <x:v>Open Jobs</x:v>
      </x:c>
      <x:c r="H8" s="104" t="str">
        <x:v>Candidate Fit</x:v>
      </x:c>
      <x:c r="I8" s="104" t="str">
        <x:v>Candidate Opportunity</x:v>
      </x:c>
      <x:c r="J8" s="104" t="str">
        <x:v>Relevant Open Role(s)</x:v>
      </x:c>
      <x:c r="K8" s="104" t="str">
        <x:v>Contact Target</x:v>
      </x:c>
      <x:c r="L8" s="104" t="str">
        <x:v>Public Contact</x:v>
      </x:c>
      <x:c r="M8" s="104" t="str">
        <x:v>Contact Title</x:v>
      </x:c>
      <x:c r="N8" s="104" t="str">
        <x:v>Public Contact Link</x:v>
      </x:c>
      <x:c r="O8" s="104" t="str">
        <x:v>Apply / Role Link</x:v>
      </x:c>
      <x:c r="P8" s="104" t="str">
        <x:v>Website</x:v>
      </x:c>
      <x:c r="Q8" s="104" t="str">
        <x:v>YC Jobs Page</x:v>
      </x:c>
      <x:c r="R8" s="104" t="str">
        <x:v>Checked On</x:v>
      </x:c>
    </x:row>
    <x:row r="9" ht="46" customHeight="1">
      <x:c r="A9" s="105" t="str">
        <x:v>Web</x:v>
      </x:c>
      <x:c r="B9" s="112" t="str">
        <x:v>Anara</x:v>
      </x:c>
      <x:c r="C9" s="108" t="n">
        <x:v>5</x:v>
      </x:c>
      <x:c r="D9" s="65" t="str">
        <x:v>San Francisco, CA, USA</x:v>
      </x:c>
      <x:c r="E9" s="65" t="str">
        <x:v>AI for researchers</x:v>
      </x:c>
      <x:c r="F9" s="109" t="str">
        <x:v>Yes</x:v>
      </x:c>
      <x:c r="G9" s="108" t="n">
        <x:v>4</x:v>
      </x:c>
      <x:c r="H9" s="109" t="str">
        <x:v>Direct match</x:v>
      </x:c>
      <x:c r="I9" s="110" t="str">
        <x:f>IF(H9="Direct match","YES — aligned role",IF(H9="Adjacent match","MAYBE — adjacent role","LIMITED — no direct SEO/PM role"))</x:f>
        <x:v>YES — aligned role</x:v>
      </x:c>
      <x:c r="J9" s="65" t="str">
        <x:v>Technical Product Manager</x:v>
      </x:c>
      <x:c r="K9" s="65" t="str">
        <x:v>Founder / Growth &amp; SEO decision-maker</x:v>
      </x:c>
      <x:c r="L9" s="65" t="str">
        <x:v>Naveed Janmohamed</x:v>
      </x:c>
      <x:c r="M9" s="65" t="str">
        <x:v>Founder</x:v>
      </x:c>
      <x:c r="N9" s="65" t="str">
        <x:v>https://linkedin.com/in/naveedjanmo</x:v>
      </x:c>
      <x:c r="O9" s="65" t="str">
        <x:v>https://www.ycombinator.com/companies/anara/jobs/1vX8BWc-technical-product-manager</x:v>
      </x:c>
      <x:c r="P9" s="65" t="str">
        <x:v>https://anara.com</x:v>
      </x:c>
      <x:c r="Q9" s="65" t="str">
        <x:v>https://www.ycombinator.com/companies/anara/jobs</x:v>
      </x:c>
      <x:c r="R9" s="111" t="n">
        <x:v>46233</x:v>
      </x:c>
    </x:row>
    <x:row r="10" ht="46" customHeight="1">
      <x:c r="A10" s="105" t="str">
        <x:v>Web</x:v>
      </x:c>
      <x:c r="B10" s="112" t="str">
        <x:v>Anglera</x:v>
      </x:c>
      <x:c r="C10" s="108" t="n">
        <x:v>6</x:v>
      </x:c>
      <x:c r="D10" s="65" t="str">
        <x:v>San Francisco, CA, USA</x:v>
      </x:c>
      <x:c r="E10" s="65" t="str">
        <x:v>AI-Powered Product Data Enrichment</x:v>
      </x:c>
      <x:c r="F10" s="109" t="str">
        <x:v>Yes</x:v>
      </x:c>
      <x:c r="G10" s="108" t="n">
        <x:v>3</x:v>
      </x:c>
      <x:c r="H10" s="109" t="str">
        <x:v>Direct match</x:v>
      </x:c>
      <x:c r="I10" s="110" t="str">
        <x:f>IF(H10="Direct match","YES — aligned role",IF(H10="Adjacent match","MAYBE — adjacent role","LIMITED — no direct SEO/PM role"))</x:f>
        <x:v>YES — aligned role</x:v>
      </x:c>
      <x:c r="J10" s="65" t="str">
        <x:v>Growth Lead</x:v>
      </x:c>
      <x:c r="K10" s="65" t="str">
        <x:v>Founder / Growth &amp; SEO decision-maker</x:v>
      </x:c>
      <x:c r="L10" s="65" t="str">
        <x:v>Amay Aggarwal</x:v>
      </x:c>
      <x:c r="M10" s="65" t="str">
        <x:v>Founder</x:v>
      </x:c>
      <x:c r="N10" s="65" t="str">
        <x:v>https://www.linkedin.com/in/amayaggarwal/</x:v>
      </x:c>
      <x:c r="O10" s="65" t="str">
        <x:v>https://www.ycombinator.com/companies/anglera/jobs/0EcFRvd-growth-lead</x:v>
      </x:c>
      <x:c r="P10" s="65" t="str">
        <x:v>https://www.anglera.com/</x:v>
      </x:c>
      <x:c r="Q10" s="65" t="str">
        <x:v>https://www.ycombinator.com/companies/anglera/jobs</x:v>
      </x:c>
      <x:c r="R10" s="111" t="n">
        <x:v>46233</x:v>
      </x:c>
    </x:row>
    <x:row r="11" ht="46" customHeight="1">
      <x:c r="A11" s="105" t="str">
        <x:v>Web</x:v>
      </x:c>
      <x:c r="B11" s="112" t="str">
        <x:v>Candle</x:v>
      </x:c>
      <x:c r="C11" s="108" t="n">
        <x:v>2</x:v>
      </x:c>
      <x:c r="D11" s="65" t="str">
        <x:v>New York City, NY, USA</x:v>
      </x:c>
      <x:c r="E11" s="65" t="str">
        <x:v>Candle helps friends and couples grow closer daily in just 5 minutes.</x:v>
      </x:c>
      <x:c r="F11" s="109" t="str">
        <x:v>Yes</x:v>
      </x:c>
      <x:c r="G11" s="108" t="n">
        <x:v>3</x:v>
      </x:c>
      <x:c r="H11" s="109" t="str">
        <x:v>Direct match</x:v>
      </x:c>
      <x:c r="I11" s="110" t="str">
        <x:f>IF(H11="Direct match","YES — aligned role",IF(H11="Adjacent match","MAYBE — adjacent role","LIMITED — no direct SEO/PM role"))</x:f>
        <x:v>YES — aligned role</x:v>
      </x:c>
      <x:c r="J11" s="65" t="str">
        <x:v>Growth Lead – Creator Program &amp; Paid Social</x:v>
      </x:c>
      <x:c r="K11" s="65" t="str">
        <x:v>Founder / Growth &amp; SEO decision-maker</x:v>
      </x:c>
      <x:c r="L11" s="65" t="str">
        <x:v>Parth Chopra</x:v>
      </x:c>
      <x:c r="M11" s="65" t="str">
        <x:v>Co-Founder and CTO</x:v>
      </x:c>
      <x:c r="N11" s="65" t="str">
        <x:v>https://linkedin.com/in/parthematics</x:v>
      </x:c>
      <x:c r="O11" s="65" t="str">
        <x:v>https://www.ycombinator.com/companies/candle/jobs/AzINRDn-growth-lead-creator-program-paid-social</x:v>
      </x:c>
      <x:c r="P11" s="65" t="str">
        <x:v>https://www.trycandle.app/</x:v>
      </x:c>
      <x:c r="Q11" s="65" t="str">
        <x:v>https://www.ycombinator.com/companies/candle/jobs</x:v>
      </x:c>
      <x:c r="R11" s="111" t="n">
        <x:v>46233</x:v>
      </x:c>
    </x:row>
    <x:row r="12" ht="46" customHeight="1">
      <x:c r="A12" s="105" t="str">
        <x:v>Web</x:v>
      </x:c>
      <x:c r="B12" s="112" t="str">
        <x:v>CatchBack Cards</x:v>
      </x:c>
      <x:c r="C12" s="108" t="n">
        <x:v>7</x:v>
      </x:c>
      <x:c r="D12" s="65" t="str">
        <x:v>San Francisco, CA, USA</x:v>
      </x:c>
      <x:c r="E12" s="65" t="str">
        <x:v>The most thrilling way to create and rip digital collectible packs</x:v>
      </x:c>
      <x:c r="F12" s="109" t="str">
        <x:v>Yes</x:v>
      </x:c>
      <x:c r="G12" s="108" t="n">
        <x:v>2</x:v>
      </x:c>
      <x:c r="H12" s="109" t="str">
        <x:v>Direct match</x:v>
      </x:c>
      <x:c r="I12" s="110" t="str">
        <x:f>IF(H12="Direct match","YES — aligned role",IF(H12="Adjacent match","MAYBE — adjacent role","LIMITED — no direct SEO/PM role"))</x:f>
        <x:v>YES — aligned role</x:v>
      </x:c>
      <x:c r="J12" s="65" t="str">
        <x:v>Growth Intern (Fall, Winter cycles)</x:v>
      </x:c>
      <x:c r="K12" s="65" t="str">
        <x:v>Founder / Growth &amp; SEO decision-maker</x:v>
      </x:c>
      <x:c r="L12" s="65" t="str">
        <x:v>Sophia Kim</x:v>
      </x:c>
      <x:c r="M12" s="65" t="str">
        <x:v>Founder</x:v>
      </x:c>
      <x:c r="N12" s="65" t="str">
        <x:v>https://www.linkedin.com/in/sophia-sol-kim/</x:v>
      </x:c>
      <x:c r="O12" s="65" t="str">
        <x:v>https://www.ycombinator.com/companies/catchback-cards/jobs/Z1FjbKi-growth-intern-fall-winter-cycles</x:v>
      </x:c>
      <x:c r="P12" s="65" t="str">
        <x:v>https://catchbackcards.com</x:v>
      </x:c>
      <x:c r="Q12" s="65" t="str">
        <x:v>https://www.ycombinator.com/companies/catchback-cards/jobs</x:v>
      </x:c>
      <x:c r="R12" s="111" t="n">
        <x:v>46233</x:v>
      </x:c>
    </x:row>
    <x:row r="13" ht="46" customHeight="1">
      <x:c r="A13" s="105" t="str">
        <x:v>Web</x:v>
      </x:c>
      <x:c r="B13" s="112" t="str">
        <x:v>Elayne</x:v>
      </x:c>
      <x:c r="C13" s="108" t="n">
        <x:v>8</x:v>
      </x:c>
      <x:c r="D13" s="65" t="str">
        <x:v>New York City, NY, USA</x:v>
      </x:c>
      <x:c r="E13" s="65" t="str">
        <x:v>Estate settlement, from verified discovery to distribution</x:v>
      </x:c>
      <x:c r="F13" s="109" t="str">
        <x:v>Yes</x:v>
      </x:c>
      <x:c r="G13" s="108" t="n">
        <x:v>5</x:v>
      </x:c>
      <x:c r="H13" s="109" t="str">
        <x:v>Direct match</x:v>
      </x:c>
      <x:c r="I13" s="110" t="str">
        <x:f>IF(H13="Direct match","YES — aligned role",IF(H13="Adjacent match","MAYBE — adjacent role","LIMITED — no direct SEO/PM role"))</x:f>
        <x:v>YES — aligned role</x:v>
      </x:c>
      <x:c r="J13" s="65" t="str">
        <x:v>Brand &amp; Marketing Designer</x:v>
      </x:c>
      <x:c r="K13" s="65" t="str">
        <x:v>Founder / Growth &amp; SEO decision-maker</x:v>
      </x:c>
      <x:c r="L13" s="65" t="str">
        <x:v>Adria Ferrier</x:v>
      </x:c>
      <x:c r="M13" s="65" t="str">
        <x:v>CEO</x:v>
      </x:c>
      <x:c r="N13" s="65" t="str">
        <x:v>https://www.linkedin.com/in/adria-ferrier-8b242836/</x:v>
      </x:c>
      <x:c r="O13" s="65" t="str">
        <x:v>https://www.ycombinator.com/companies/elayne/jobs/vjJToUl-brand-marketing-designer</x:v>
      </x:c>
      <x:c r="P13" s="65" t="str">
        <x:v>https://www.elayne.com/</x:v>
      </x:c>
      <x:c r="Q13" s="65" t="str">
        <x:v>https://www.ycombinator.com/companies/elayne/jobs</x:v>
      </x:c>
      <x:c r="R13" s="111" t="n">
        <x:v>46233</x:v>
      </x:c>
    </x:row>
    <x:row r="14" ht="46" customHeight="1">
      <x:c r="A14" s="105" t="str">
        <x:v>Web</x:v>
      </x:c>
      <x:c r="B14" s="112" t="str">
        <x:v>Innate</x:v>
      </x:c>
      <x:c r="C14" s="108" t="n">
        <x:v>7</x:v>
      </x:c>
      <x:c r="D14" s="65" t="str">
        <x:v>San Francisco, CA, USA</x:v>
      </x:c>
      <x:c r="E14" s="65" t="str">
        <x:v>Personal AI Robots</x:v>
      </x:c>
      <x:c r="F14" s="109" t="str">
        <x:v>Yes</x:v>
      </x:c>
      <x:c r="G14" s="108" t="n">
        <x:v>2</x:v>
      </x:c>
      <x:c r="H14" s="109" t="str">
        <x:v>Direct match</x:v>
      </x:c>
      <x:c r="I14" s="110" t="str">
        <x:f>IF(H14="Direct match","YES — aligned role",IF(H14="Adjacent match","MAYBE — adjacent role","LIMITED — no direct SEO/PM role"))</x:f>
        <x:v>YES — aligned role</x:v>
      </x:c>
      <x:c r="J14" s="65" t="str">
        <x:v>Marketing Intern</x:v>
      </x:c>
      <x:c r="K14" s="65" t="str">
        <x:v>Founder / Growth &amp; SEO decision-maker</x:v>
      </x:c>
      <x:c r="L14" s="65" t="str">
        <x:v>Vignesh Anand</x:v>
      </x:c>
      <x:c r="M14" s="65" t="str">
        <x:v>Founder</x:v>
      </x:c>
      <x:c r="N14" s="65" t="str">
        <x:v>https://www.linkedin.com/in/vignesh-anand-iitb/</x:v>
      </x:c>
      <x:c r="O14" s="65" t="str">
        <x:v>https://www.ycombinator.com/companies/innate/jobs/PZV8HFZ-marketing-intern</x:v>
      </x:c>
      <x:c r="P14" s="65" t="str">
        <x:v>https://innate.bot</x:v>
      </x:c>
      <x:c r="Q14" s="65" t="str">
        <x:v>https://www.ycombinator.com/companies/innate/jobs</x:v>
      </x:c>
      <x:c r="R14" s="111" t="n">
        <x:v>46233</x:v>
      </x:c>
    </x:row>
    <x:row r="15" ht="46" customHeight="1">
      <x:c r="A15" s="105" t="str">
        <x:v>Web</x:v>
      </x:c>
      <x:c r="B15" s="112" t="str">
        <x:v>JustAI</x:v>
      </x:c>
      <x:c r="C15" s="108" t="n">
        <x:v>4</x:v>
      </x:c>
      <x:c r="D15" s="65" t="str">
        <x:v>San Francisco, CA, USA</x:v>
      </x:c>
      <x:c r="E15" s="65" t="str">
        <x:v>Agentic Marketing Platform</x:v>
      </x:c>
      <x:c r="F15" s="109" t="str">
        <x:v>Yes</x:v>
      </x:c>
      <x:c r="G15" s="108" t="n">
        <x:v>11</x:v>
      </x:c>
      <x:c r="H15" s="109" t="str">
        <x:v>Direct match</x:v>
      </x:c>
      <x:c r="I15" s="110" t="str">
        <x:f>IF(H15="Direct match","YES — aligned role",IF(H15="Adjacent match","MAYBE — adjacent role","LIMITED — no direct SEO/PM role"))</x:f>
        <x:v>YES — aligned role</x:v>
      </x:c>
      <x:c r="J15" s="65" t="str">
        <x:v>Growth &amp; Marketing Lead | Marketing Operations Manager | Lifecycle Marketing Manager (for JustAI customers)</x:v>
      </x:c>
      <x:c r="K15" s="65" t="str">
        <x:v>Founder / Growth &amp; SEO decision-maker</x:v>
      </x:c>
      <x:c r="L15" s="65" t="str">
        <x:v>Neha Mittal</x:v>
      </x:c>
      <x:c r="M15" s="65" t="str">
        <x:v>Founder</x:v>
      </x:c>
      <x:c r="N15" s="65" t="str">
        <x:v>https://linkedin.com/in/neha01mittal</x:v>
      </x:c>
      <x:c r="O15" s="65" t="str">
        <x:v>https://www.ycombinator.com/companies/justai/jobs/TIDWDOB-growth-marketing-lead</x:v>
      </x:c>
      <x:c r="P15" s="65" t="str">
        <x:v>https://getjust.ai</x:v>
      </x:c>
      <x:c r="Q15" s="65" t="str">
        <x:v>https://www.ycombinator.com/companies/justai/jobs</x:v>
      </x:c>
      <x:c r="R15" s="111" t="n">
        <x:v>46233</x:v>
      </x:c>
    </x:row>
    <x:row r="16" ht="46" customHeight="1">
      <x:c r="A16" s="105" t="str">
        <x:v>Web</x:v>
      </x:c>
      <x:c r="B16" s="112" t="str">
        <x:v>Liva AI</x:v>
      </x:c>
      <x:c r="C16" s="108" t="n">
        <x:v>4</x:v>
      </x:c>
      <x:c r="D16" s="65" t="str">
        <x:v>San Francisco, CA, USA</x:v>
      </x:c>
      <x:c r="E16" s="65" t="str">
        <x:v>Audio &amp; Video Data</x:v>
      </x:c>
      <x:c r="F16" s="109" t="str">
        <x:v>Yes</x:v>
      </x:c>
      <x:c r="G16" s="108" t="n">
        <x:v>2</x:v>
      </x:c>
      <x:c r="H16" s="109" t="str">
        <x:v>Direct match</x:v>
      </x:c>
      <x:c r="I16" s="110" t="str">
        <x:f>IF(H16="Direct match","YES — aligned role",IF(H16="Adjacent match","MAYBE — adjacent role","LIMITED — no direct SEO/PM role"))</x:f>
        <x:v>YES — aligned role</x:v>
      </x:c>
      <x:c r="J16" s="65" t="str">
        <x:v>Founding Growth Lead </x:v>
      </x:c>
      <x:c r="K16" s="65" t="str">
        <x:v>Founder / Growth &amp; SEO decision-maker</x:v>
      </x:c>
      <x:c r="L16" s="65" t="str">
        <x:v>Ashley Mo</x:v>
      </x:c>
      <x:c r="M16" s="65" t="str">
        <x:v>Founder</x:v>
      </x:c>
      <x:c r="N16" s="65" t="str">
        <x:v>https://www.linkedin.com/in/ashley-mo/</x:v>
      </x:c>
      <x:c r="O16" s="65" t="str">
        <x:v>https://www.ycombinator.com/companies/liva-ai/jobs/4wv6EPd-founding-growth-lead</x:v>
      </x:c>
      <x:c r="P16" s="65" t="str">
        <x:v>https://www.theliva.ai</x:v>
      </x:c>
      <x:c r="Q16" s="65" t="str">
        <x:v>https://www.ycombinator.com/companies/liva-ai/jobs</x:v>
      </x:c>
      <x:c r="R16" s="111" t="n">
        <x:v>46233</x:v>
      </x:c>
    </x:row>
    <x:row r="17" ht="46" customHeight="1">
      <x:c r="A17" s="105" t="str">
        <x:v>Web</x:v>
      </x:c>
      <x:c r="B17" s="112" t="str">
        <x:v>Manicule</x:v>
      </x:c>
      <x:c r="C17" s="108" t="n">
        <x:v>5</x:v>
      </x:c>
      <x:c r="D17" s="65" t="str">
        <x:v>San Francisco, CA, USA</x:v>
      </x:c>
      <x:c r="E17" s="65" t="str">
        <x:v>AgentRel — Devrel For Agents</x:v>
      </x:c>
      <x:c r="F17" s="109" t="str">
        <x:v>Yes</x:v>
      </x:c>
      <x:c r="G17" s="108" t="n">
        <x:v>1</x:v>
      </x:c>
      <x:c r="H17" s="109" t="str">
        <x:v>Direct match</x:v>
      </x:c>
      <x:c r="I17" s="110" t="str">
        <x:f>IF(H17="Direct match","YES — aligned role",IF(H17="Adjacent match","MAYBE — adjacent role","LIMITED — no direct SEO/PM role"))</x:f>
        <x:v>YES — aligned role</x:v>
      </x:c>
      <x:c r="J17" s="65" t="str">
        <x:v>DevRel/Content Engineer/Developer Marketer/Content Marketer</x:v>
      </x:c>
      <x:c r="K17" s="65" t="str">
        <x:v>Founder / Growth &amp; SEO decision-maker</x:v>
      </x:c>
      <x:c r="L17" s="65" t="str">
        <x:v>Naman Bansal</x:v>
      </x:c>
      <x:c r="M17" s="65" t="str">
        <x:v>Founder</x:v>
      </x:c>
      <x:c r="N17" s="65" t="str">
        <x:v>https://linkedin.com/in/namban</x:v>
      </x:c>
      <x:c r="O17" s="65" t="str">
        <x:v>https://www.ycombinator.com/companies/manicule/jobs/SjpVCOT-devrel-content-engineer-developer-marketer-content-marketer</x:v>
      </x:c>
      <x:c r="P17" s="65" t="str">
        <x:v>https://manicule.dev</x:v>
      </x:c>
      <x:c r="Q17" s="65" t="str">
        <x:v>https://www.ycombinator.com/companies/manicule/jobs</x:v>
      </x:c>
      <x:c r="R17" s="111" t="n">
        <x:v>46233</x:v>
      </x:c>
    </x:row>
    <x:row r="18" ht="46" customHeight="1">
      <x:c r="A18" s="105" t="str">
        <x:v>Web</x:v>
      </x:c>
      <x:c r="B18" s="112" t="str">
        <x:v>Misprint</x:v>
      </x:c>
      <x:c r="C18" s="108" t="n">
        <x:v>4</x:v>
      </x:c>
      <x:c r="D18" s="65" t="str">
        <x:v>New York City, NY, USA</x:v>
      </x:c>
      <x:c r="E18" s="65" t="str">
        <x:v>Misprint is building Robinhood for Pokemon cards</x:v>
      </x:c>
      <x:c r="F18" s="109" t="str">
        <x:v>Yes</x:v>
      </x:c>
      <x:c r="G18" s="108" t="n">
        <x:v>2</x:v>
      </x:c>
      <x:c r="H18" s="109" t="str">
        <x:v>Direct match</x:v>
      </x:c>
      <x:c r="I18" s="110" t="str">
        <x:f>IF(H18="Direct match","YES — aligned role",IF(H18="Adjacent match","MAYBE — adjacent role","LIMITED — no direct SEO/PM role"))</x:f>
        <x:v>YES — aligned role</x:v>
      </x:c>
      <x:c r="J18" s="65" t="str">
        <x:v>Pokémon Content &amp; Social Media Intern</x:v>
      </x:c>
      <x:c r="K18" s="65" t="str">
        <x:v>Founder / Growth &amp; SEO decision-maker</x:v>
      </x:c>
      <x:c r="L18" s="65" t="str">
        <x:v>Eva Herget</x:v>
      </x:c>
      <x:c r="M18" s="65" t="str">
        <x:v>Founder</x:v>
      </x:c>
      <x:c r="N18" s="65" t="str">
        <x:v>https://www.linkedin.com/in/eva-herget/</x:v>
      </x:c>
      <x:c r="O18" s="65" t="str">
        <x:v>https://www.ycombinator.com/companies/misprint/jobs/9GaKY2P-pokemon-content-social-media-intern</x:v>
      </x:c>
      <x:c r="P18" s="65" t="str">
        <x:v>https://www.misprint.com</x:v>
      </x:c>
      <x:c r="Q18" s="65" t="str">
        <x:v>https://www.ycombinator.com/companies/misprint/jobs</x:v>
      </x:c>
      <x:c r="R18" s="111" t="n">
        <x:v>46233</x:v>
      </x:c>
    </x:row>
    <x:row r="19" ht="46" customHeight="1">
      <x:c r="A19" s="105" t="str">
        <x:v>Web</x:v>
      </x:c>
      <x:c r="B19" s="112" t="str">
        <x:v>Nozomio</x:v>
      </x:c>
      <x:c r="C19" s="108" t="n">
        <x:v>5</x:v>
      </x:c>
      <x:c r="D19" s="65" t="str">
        <x:v>San Francisco, CA, USA</x:v>
      </x:c>
      <x:c r="E19" s="65" t="str">
        <x:v>product lab solving context in ai</x:v>
      </x:c>
      <x:c r="F19" s="109" t="str">
        <x:v>Yes</x:v>
      </x:c>
      <x:c r="G19" s="108" t="n">
        <x:v>4</x:v>
      </x:c>
      <x:c r="H19" s="109" t="str">
        <x:v>Direct match</x:v>
      </x:c>
      <x:c r="I19" s="110" t="str">
        <x:f>IF(H19="Direct match","YES — aligned role",IF(H19="Adjacent match","MAYBE — adjacent role","LIMITED — no direct SEO/PM role"))</x:f>
        <x:v>YES — aligned role</x:v>
      </x:c>
      <x:c r="J19" s="65" t="str">
        <x:v>Founding Growth | Short-Form Content Creator | Founding Member of Marketing Staff</x:v>
      </x:c>
      <x:c r="K19" s="65" t="str">
        <x:v>Founder / Growth &amp; SEO decision-maker</x:v>
      </x:c>
      <x:c r="L19" s="65" t="str">
        <x:v>Arlan Rakhmetzhanov</x:v>
      </x:c>
      <x:c r="M19" s="65" t="str">
        <x:v>Founder</x:v>
      </x:c>
      <x:c r="N19" s="65" t="str">
        <x:v>https://www.linkedin.com/in/arlan-rakhmetzhanov/</x:v>
      </x:c>
      <x:c r="O19" s="65" t="str">
        <x:v>https://www.ycombinator.com/companies/nozomio/jobs/bT2YpAU-founding-growth</x:v>
      </x:c>
      <x:c r="P19" s="65" t="str">
        <x:v>https://www.nozomio.com/</x:v>
      </x:c>
      <x:c r="Q19" s="65" t="str">
        <x:v>https://www.ycombinator.com/companies/nozomio/jobs</x:v>
      </x:c>
      <x:c r="R19" s="111" t="n">
        <x:v>46233</x:v>
      </x:c>
    </x:row>
    <x:row r="20" ht="46" customHeight="1">
      <x:c r="A20" s="105" t="str">
        <x:v>Web</x:v>
      </x:c>
      <x:c r="B20" s="112" t="str">
        <x:v>Pax Historia</x:v>
      </x:c>
      <x:c r="C20" s="108" t="n">
        <x:v>3</x:v>
      </x:c>
      <x:c r="D20" s="65" t="str">
        <x:v>San Francisco, CA, USA</x:v>
      </x:c>
      <x:c r="E20" s="65" t="str">
        <x:v>The first AI-powered grand strategy platform</x:v>
      </x:c>
      <x:c r="F20" s="109" t="str">
        <x:v>Yes</x:v>
      </x:c>
      <x:c r="G20" s="108" t="n">
        <x:v>4</x:v>
      </x:c>
      <x:c r="H20" s="109" t="str">
        <x:v>Direct match</x:v>
      </x:c>
      <x:c r="I20" s="110" t="str">
        <x:f>IF(H20="Direct match","YES — aligned role",IF(H20="Adjacent match","MAYBE — adjacent role","LIMITED — no direct SEO/PM role"))</x:f>
        <x:v>YES — aligned role</x:v>
      </x:c>
      <x:c r="J20" s="65" t="str">
        <x:v>Short-Form Content Creator</x:v>
      </x:c>
      <x:c r="K20" s="65" t="str">
        <x:v>Founder / Growth &amp; SEO decision-maker</x:v>
      </x:c>
      <x:c r="L20" s="65" t="str">
        <x:v>Eli Bullock-Papa</x:v>
      </x:c>
      <x:c r="M20" s="65" t="str">
        <x:v>Founder</x:v>
      </x:c>
      <x:c r="N20" s="65" t="str">
        <x:v>https://linkedin.com/in/elibullockpapa</x:v>
      </x:c>
      <x:c r="O20" s="65" t="str">
        <x:v>https://www.ycombinator.com/companies/pax-historia/jobs/yP8eRfl-short-form-content-creator</x:v>
      </x:c>
      <x:c r="P20" s="65" t="str">
        <x:v>https://www.paxhistoria.co</x:v>
      </x:c>
      <x:c r="Q20" s="65" t="str">
        <x:v>https://www.ycombinator.com/companies/pax-historia/jobs</x:v>
      </x:c>
      <x:c r="R20" s="111" t="n">
        <x:v>46233</x:v>
      </x:c>
    </x:row>
    <x:row r="21" ht="46" customHeight="1">
      <x:c r="A21" s="105" t="str">
        <x:v>Web</x:v>
      </x:c>
      <x:c r="B21" s="112" t="str">
        <x:v>Scout</x:v>
      </x:c>
      <x:c r="C21" s="108" t="n">
        <x:v>3</x:v>
      </x:c>
      <x:c r="D21" s="65" t="str">
        <x:v>San Francisco, CA, USA</x:v>
      </x:c>
      <x:c r="E21" s="65" t="str">
        <x:v>AI insights for consumer products</x:v>
      </x:c>
      <x:c r="F21" s="109" t="str">
        <x:v>Yes</x:v>
      </x:c>
      <x:c r="G21" s="108" t="n">
        <x:v>3</x:v>
      </x:c>
      <x:c r="H21" s="109" t="str">
        <x:v>Direct match</x:v>
      </x:c>
      <x:c r="I21" s="110" t="str">
        <x:f>IF(H21="Direct match","YES — aligned role",IF(H21="Adjacent match","MAYBE — adjacent role","LIMITED — no direct SEO/PM role"))</x:f>
        <x:v>YES — aligned role</x:v>
      </x:c>
      <x:c r="J21" s="65" t="str">
        <x:v>Growth &amp; Operations Intern</x:v>
      </x:c>
      <x:c r="K21" s="65" t="str">
        <x:v>Founder / Growth &amp; SEO decision-maker</x:v>
      </x:c>
      <x:c r="L21" s="65" t="str">
        <x:v>Sasha Zhang</x:v>
      </x:c>
      <x:c r="M21" s="65" t="str">
        <x:v>Founder</x:v>
      </x:c>
      <x:c r="N21" s="65" t="str">
        <x:v>https://linkedin.com/in/sashaxzhang</x:v>
      </x:c>
      <x:c r="O21" s="65" t="str">
        <x:v>https://www.ycombinator.com/companies/cpgscout/jobs/FhiEgsO-growth-operations-intern</x:v>
      </x:c>
      <x:c r="P21" s="65" t="str">
        <x:v>https://cpgscout.ai/</x:v>
      </x:c>
      <x:c r="Q21" s="65" t="str">
        <x:v>https://www.ycombinator.com/companies/cpgscout/jobs</x:v>
      </x:c>
      <x:c r="R21" s="111" t="n">
        <x:v>46233</x:v>
      </x:c>
    </x:row>
    <x:row r="22" ht="46" customHeight="1">
      <x:c r="A22" s="105" t="str">
        <x:v>Web</x:v>
      </x:c>
      <x:c r="B22" s="112" t="str">
        <x:v>VideoGen</x:v>
      </x:c>
      <x:c r="C22" s="108" t="n">
        <x:v>5</x:v>
      </x:c>
      <x:c r="D22" s="65" t="str">
        <x:v>San Francisco, CA, USA</x:v>
      </x:c>
      <x:c r="E22" s="65" t="str">
        <x:v>AI that can create and edit professional videos</x:v>
      </x:c>
      <x:c r="F22" s="109" t="str">
        <x:v>Yes</x:v>
      </x:c>
      <x:c r="G22" s="108" t="n">
        <x:v>1</x:v>
      </x:c>
      <x:c r="H22" s="109" t="str">
        <x:v>Direct match</x:v>
      </x:c>
      <x:c r="I22" s="110" t="str">
        <x:f>IF(H22="Direct match","YES — aligned role",IF(H22="Adjacent match","MAYBE — adjacent role","LIMITED — no direct SEO/PM role"))</x:f>
        <x:v>YES — aligned role</x:v>
      </x:c>
      <x:c r="J22" s="65" t="str">
        <x:v>Technical SEO Lead</x:v>
      </x:c>
      <x:c r="K22" s="65" t="str">
        <x:v>Founder / Growth &amp; SEO decision-maker</x:v>
      </x:c>
      <x:c r="L22" s="65" t="str">
        <x:v>David Grossman</x:v>
      </x:c>
      <x:c r="M22" s="65" t="str">
        <x:v>Founder</x:v>
      </x:c>
      <x:c r="N22" s="65" t="str">
        <x:v>https://linkedin.com/in/dg314</x:v>
      </x:c>
      <x:c r="O22" s="65" t="str">
        <x:v>https://www.ycombinator.com/companies/videogen/jobs/F4gBXxU-technical-seo-lead</x:v>
      </x:c>
      <x:c r="P22" s="65" t="str">
        <x:v>https://videogen.io</x:v>
      </x:c>
      <x:c r="Q22" s="65" t="str">
        <x:v>https://www.ycombinator.com/companies/videogen/jobs</x:v>
      </x:c>
      <x:c r="R22" s="111" t="n">
        <x:v>46233</x:v>
      </x:c>
    </x:row>
    <x:row r="23" ht="46" customHeight="1">
      <x:c r="A23" s="105" t="str">
        <x:v>Web</x:v>
      </x:c>
      <x:c r="B23" s="112" t="str">
        <x:v>Willow</x:v>
      </x:c>
      <x:c r="C23" s="108" t="n">
        <x:v>7</x:v>
      </x:c>
      <x:c r="D23" s="65" t="str">
        <x:v>San Francisco, CA, USA</x:v>
      </x:c>
      <x:c r="E23" s="65" t="str">
        <x:v>The voice interface replacing your keyboard</x:v>
      </x:c>
      <x:c r="F23" s="109" t="str">
        <x:v>Yes</x:v>
      </x:c>
      <x:c r="G23" s="108" t="n">
        <x:v>4</x:v>
      </x:c>
      <x:c r="H23" s="109" t="str">
        <x:v>Direct match</x:v>
      </x:c>
      <x:c r="I23" s="110" t="str">
        <x:f>IF(H23="Direct match","YES — aligned role",IF(H23="Adjacent match","MAYBE — adjacent role","LIMITED — no direct SEO/PM role"))</x:f>
        <x:v>YES — aligned role</x:v>
      </x:c>
      <x:c r="J23" s="65" t="str">
        <x:v>Founding Growth &amp; Content Lead</x:v>
      </x:c>
      <x:c r="K23" s="65" t="str">
        <x:v>Founder / Growth &amp; SEO decision-maker</x:v>
      </x:c>
      <x:c r="L23" s="65" t="str">
        <x:v>Allan Guo</x:v>
      </x:c>
      <x:c r="M23" s="65" t="str">
        <x:v>Founder</x:v>
      </x:c>
      <x:c r="N23" s="65" t="str">
        <x:v>https://www.linkedin.com/company/willowvoice/</x:v>
      </x:c>
      <x:c r="O23" s="65" t="str">
        <x:v>https://www.ycombinator.com/companies/willow/jobs/BZLQByE-founding-growth-content-lead</x:v>
      </x:c>
      <x:c r="P23" s="65" t="str">
        <x:v>https://willowvoice.com/</x:v>
      </x:c>
      <x:c r="Q23" s="65" t="str">
        <x:v>https://www.ycombinator.com/companies/willow/jobs</x:v>
      </x:c>
      <x:c r="R23" s="111" t="n">
        <x:v>46233</x:v>
      </x:c>
    </x:row>
    <x:row r="24" ht="46" customHeight="1">
      <x:c r="A24" s="105" t="str">
        <x:v>Web</x:v>
      </x:c>
      <x:c r="B24" s="112" t="str">
        <x:v>Cardboard</x:v>
      </x:c>
      <x:c r="C24" s="108" t="n">
        <x:v>4</x:v>
      </x:c>
      <x:c r="D24" s="65" t="str">
        <x:v>San Francisco, CA, USA</x:v>
      </x:c>
      <x:c r="E24" s="65" t="str">
        <x:v>Agentic video editor</x:v>
      </x:c>
      <x:c r="F24" s="109" t="str">
        <x:v>Yes</x:v>
      </x:c>
      <x:c r="G24" s="108" t="n">
        <x:v>3</x:v>
      </x:c>
      <x:c r="H24" s="109" t="str">
        <x:v>Adjacent match</x:v>
      </x:c>
      <x:c r="I24" s="110" t="str">
        <x:f>IF(H24="Direct match","YES — aligned role",IF(H24="Adjacent match","MAYBE — adjacent role","LIMITED — no direct SEO/PM role"))</x:f>
        <x:v>MAYBE — adjacent role</x:v>
      </x:c>
      <x:c r="J24" s="65" t="str">
        <x:v>Founding Design Engineer</x:v>
      </x:c>
      <x:c r="K24" s="65" t="str">
        <x:v>Founder / Growth &amp; SEO decision-maker</x:v>
      </x:c>
      <x:c r="L24" s="65" t="str">
        <x:v>Saksham Aggarwal</x:v>
      </x:c>
      <x:c r="M24" s="65" t="str">
        <x:v>Founder</x:v>
      </x:c>
      <x:c r="N24" s="65" t="str">
        <x:v>https://linkedin.com/in/sakshamagg27</x:v>
      </x:c>
      <x:c r="O24" s="65" t="str">
        <x:v>https://www.ycombinator.com/companies/cardboard/jobs/BdiL7fz-founding-design-engineer</x:v>
      </x:c>
      <x:c r="P24" s="65" t="str">
        <x:v>https://usecardboard.com</x:v>
      </x:c>
      <x:c r="Q24" s="65" t="str">
        <x:v>https://www.ycombinator.com/companies/cardboard/jobs</x:v>
      </x:c>
      <x:c r="R24" s="111" t="n">
        <x:v>46233</x:v>
      </x:c>
    </x:row>
    <x:row r="25" ht="46" customHeight="1">
      <x:c r="A25" s="105" t="str">
        <x:v>Software</x:v>
      </x:c>
      <x:c r="B25" s="112" t="str">
        <x:v>Gojiberry AI</x:v>
      </x:c>
      <x:c r="C25" s="108" t="n">
        <x:v>7</x:v>
      </x:c>
      <x:c r="D25" s="65" t="str">
        <x:v>San Francisco, CA, USA; Remote</x:v>
      </x:c>
      <x:c r="E25" s="65" t="str">
        <x:v>AI Go-To-Market agents for B2B teams</x:v>
      </x:c>
      <x:c r="F25" s="109" t="str">
        <x:v>Yes</x:v>
      </x:c>
      <x:c r="G25" s="108" t="n">
        <x:v>2</x:v>
      </x:c>
      <x:c r="H25" s="109" t="str">
        <x:v>Direct match</x:v>
      </x:c>
      <x:c r="I25" s="110" t="str">
        <x:f>IF(H25="Direct match","YES — aligned role",IF(H25="Adjacent match","MAYBE — adjacent role","LIMITED — no direct SEO/PM role"))</x:f>
        <x:v>YES — aligned role</x:v>
      </x:c>
      <x:c r="J25" s="65" t="str">
        <x:v> Content Creator &amp; Brand Personality (Full Remote) | Creator Growth Manager</x:v>
      </x:c>
      <x:c r="K25" s="65" t="str">
        <x:v>Founder / Product decision-maker</x:v>
      </x:c>
      <x:c r="L25" s="65" t="str">
        <x:v>Romàn Czerny</x:v>
      </x:c>
      <x:c r="M25" s="65" t="str">
        <x:v>Founder</x:v>
      </x:c>
      <x:c r="N25" s="65" t="str">
        <x:v>https://www.linkedin.com/in/roman-cherny-a32069419/?skipRedirect=true</x:v>
      </x:c>
      <x:c r="O25" s="65" t="str">
        <x:v>https://www.ycombinator.com/companies/gojiberry-ai/jobs/xMBFfvO-content-creator-brand-personality-full-remote</x:v>
      </x:c>
      <x:c r="P25" s="65" t="str">
        <x:v>https://www.gojiberry.ai</x:v>
      </x:c>
      <x:c r="Q25" s="65" t="str">
        <x:v>https://www.ycombinator.com/companies/gojiberry-ai/jobs</x:v>
      </x:c>
      <x:c r="R25" s="111" t="n">
        <x:v>46233</x:v>
      </x:c>
    </x:row>
    <x:row r="26" ht="46" customHeight="1">
      <x:c r="A26" s="105" t="str">
        <x:v>Software</x:v>
      </x:c>
      <x:c r="B26" s="112" t="str">
        <x:v>Lightsprint</x:v>
      </x:c>
      <x:c r="C26" s="108" t="n">
        <x:v>3</x:v>
      </x:c>
      <x:c r="D26" s="65" t="str">
        <x:v>San Francisco, CA, USA</x:v>
      </x:c>
      <x:c r="E26" s="65" t="str">
        <x:v>Collaborative product development with cloud agents</x:v>
      </x:c>
      <x:c r="F26" s="109" t="str">
        <x:v>Yes</x:v>
      </x:c>
      <x:c r="G26" s="108" t="n">
        <x:v>2</x:v>
      </x:c>
      <x:c r="H26" s="109" t="str">
        <x:v>Direct match</x:v>
      </x:c>
      <x:c r="I26" s="110" t="str">
        <x:f>IF(H26="Direct match","YES — aligned role",IF(H26="Adjacent match","MAYBE — adjacent role","LIMITED — no direct SEO/PM role"))</x:f>
        <x:v>YES — aligned role</x:v>
      </x:c>
      <x:c r="J26" s="65" t="str">
        <x:v>Product Marketing / GTM Engineer</x:v>
      </x:c>
      <x:c r="K26" s="65" t="str">
        <x:v>Founder / Product decision-maker</x:v>
      </x:c>
      <x:c r="L26" s="65" t="str">
        <x:v>Benedict Chan</x:v>
      </x:c>
      <x:c r="M26" s="65" t="str">
        <x:v>Founder</x:v>
      </x:c>
      <x:c r="N26" s="65" t="str">
        <x:v>https://linkedin.com/in/bencxr</x:v>
      </x:c>
      <x:c r="O26" s="65" t="str">
        <x:v>https://www.ycombinator.com/companies/lightsprint/jobs/f42QPiX-product-marketing-gtm-engineer</x:v>
      </x:c>
      <x:c r="P26" s="65" t="str">
        <x:v>https://lightsprint.ai</x:v>
      </x:c>
      <x:c r="Q26" s="65" t="str">
        <x:v>https://www.ycombinator.com/companies/lightsprint/jobs</x:v>
      </x:c>
      <x:c r="R26" s="111" t="n">
        <x:v>46233</x:v>
      </x:c>
    </x:row>
    <x:row r="27" ht="46" customHeight="1">
      <x:c r="A27" s="105" t="str">
        <x:v>Software</x:v>
      </x:c>
      <x:c r="B27" s="112" t="str">
        <x:v>Aspect</x:v>
      </x:c>
      <x:c r="C27" s="108" t="n">
        <x:v>3</x:v>
      </x:c>
      <x:c r="D27" s="65" t="str">
        <x:v>New York City, NY, USA</x:v>
      </x:c>
      <x:c r="E27" s="65" t="str">
        <x:v>Intelligent media storage for creative teams.</x:v>
      </x:c>
      <x:c r="F27" s="109" t="str">
        <x:v>Yes</x:v>
      </x:c>
      <x:c r="G27" s="108" t="n">
        <x:v>2</x:v>
      </x:c>
      <x:c r="H27" s="109" t="str">
        <x:v>Adjacent match</x:v>
      </x:c>
      <x:c r="I27" s="110" t="str">
        <x:f>IF(H27="Direct match","YES — aligned role",IF(H27="Adjacent match","MAYBE — adjacent role","LIMITED — no direct SEO/PM role"))</x:f>
        <x:v>MAYBE — adjacent role</x:v>
      </x:c>
      <x:c r="J27" s="65" t="str">
        <x:v>Founding GTM</x:v>
      </x:c>
      <x:c r="K27" s="65" t="str">
        <x:v>Founder / Product decision-maker</x:v>
      </x:c>
      <x:c r="L27" s="65" t="str">
        <x:v>Edison Chiu</x:v>
      </x:c>
      <x:c r="M27" s="65" t="str">
        <x:v>Founder</x:v>
      </x:c>
      <x:c r="N27" s="65" t="str">
        <x:v>https://www.linkedin.com/in/edison-chiu</x:v>
      </x:c>
      <x:c r="O27" s="65" t="str">
        <x:v>https://www.ycombinator.com/companies/aspect-inc/jobs/siiWHs3-founding-gtm</x:v>
      </x:c>
      <x:c r="P27" s="65" t="str">
        <x:v>https://aspect.inc</x:v>
      </x:c>
      <x:c r="Q27" s="65" t="str">
        <x:v>https://www.ycombinator.com/companies/aspect-inc/jobs</x:v>
      </x:c>
      <x:c r="R27" s="111" t="n">
        <x:v>46233</x:v>
      </x:c>
    </x:row>
    <x:row r="28" ht="46" customHeight="1">
      <x:c r="A28" s="105" t="str">
        <x:v>Software</x:v>
      </x:c>
      <x:c r="B28" s="112" t="str">
        <x:v>Dalus</x:v>
      </x:c>
      <x:c r="C28" s="108" t="n">
        <x:v>3</x:v>
      </x:c>
      <x:c r="D28" s="65" t="str">
        <x:v>San Francisco, CA, USA</x:v>
      </x:c>
      <x:c r="E28" s="65" t="str">
        <x:v>AI-Powered Hardware System Design Software</x:v>
      </x:c>
      <x:c r="F28" s="109" t="str">
        <x:v>Yes</x:v>
      </x:c>
      <x:c r="G28" s="108" t="n">
        <x:v>2</x:v>
      </x:c>
      <x:c r="H28" s="109" t="str">
        <x:v>Adjacent match</x:v>
      </x:c>
      <x:c r="I28" s="110" t="str">
        <x:f>IF(H28="Direct match","YES — aligned role",IF(H28="Adjacent match","MAYBE — adjacent role","LIMITED — no direct SEO/PM role"))</x:f>
        <x:v>MAYBE — adjacent role</x:v>
      </x:c>
      <x:c r="J28" s="65" t="str">
        <x:v>GTM Intern </x:v>
      </x:c>
      <x:c r="K28" s="65" t="str">
        <x:v>Founder / Product decision-maker</x:v>
      </x:c>
      <x:c r="L28" s="65" t="str">
        <x:v>Eliot Khachi</x:v>
      </x:c>
      <x:c r="M28" s="65" t="str">
        <x:v>Founder</x:v>
      </x:c>
      <x:c r="N28" s="65" t="str">
        <x:v>https://www.linkedin.com/in/eliot-khachi-426424159/</x:v>
      </x:c>
      <x:c r="O28" s="65" t="str">
        <x:v>https://www.ycombinator.com/companies/dalus/jobs/CqZr2It-gtm-intern</x:v>
      </x:c>
      <x:c r="P28" s="65" t="str">
        <x:v>https://dalus.io</x:v>
      </x:c>
      <x:c r="Q28" s="65" t="str">
        <x:v>https://www.ycombinator.com/companies/dalus/jobs</x:v>
      </x:c>
      <x:c r="R28" s="111" t="n">
        <x:v>46233</x:v>
      </x:c>
    </x:row>
    <x:row r="29" ht="46" customHeight="1">
      <x:c r="A29" s="105" t="str">
        <x:v>Software</x:v>
      </x:c>
      <x:c r="B29" s="112" t="str">
        <x:v>Humwork</x:v>
      </x:c>
      <x:c r="C29" s="108" t="n">
        <x:v>2</x:v>
      </x:c>
      <x:c r="D29" s="65" t="str">
        <x:v>San Francisco, CA, USA</x:v>
      </x:c>
      <x:c r="E29" s="65" t="str">
        <x:v>Human experts as API for AI Agents</x:v>
      </x:c>
      <x:c r="F29" s="109" t="str">
        <x:v>Yes</x:v>
      </x:c>
      <x:c r="G29" s="108" t="n">
        <x:v>2</x:v>
      </x:c>
      <x:c r="H29" s="109" t="str">
        <x:v>Adjacent match</x:v>
      </x:c>
      <x:c r="I29" s="110" t="str">
        <x:f>IF(H29="Direct match","YES — aligned role",IF(H29="Adjacent match","MAYBE — adjacent role","LIMITED — no direct SEO/PM role"))</x:f>
        <x:v>MAYBE — adjacent role</x:v>
      </x:c>
      <x:c r="J29" s="65" t="str">
        <x:v>GTM Engineer (AI-Native Outbound &amp; Sales)</x:v>
      </x:c>
      <x:c r="K29" s="65" t="str">
        <x:v>Founder / Product decision-maker</x:v>
      </x:c>
      <x:c r="L29" s="65" t="str">
        <x:v>Rohan Datta</x:v>
      </x:c>
      <x:c r="M29" s="65" t="str">
        <x:v>Founder</x:v>
      </x:c>
      <x:c r="N29" s="65" t="str">
        <x:v>https://linkedin.com/in/rohan-datta-2500</x:v>
      </x:c>
      <x:c r="O29" s="65" t="str">
        <x:v>https://www.ycombinator.com/companies/humwork/jobs/1wdQLOT-gtm-engineer-ai-native-outbound-sales</x:v>
      </x:c>
      <x:c r="P29" s="65" t="str">
        <x:v>https://humwork.ai</x:v>
      </x:c>
      <x:c r="Q29" s="65" t="str">
        <x:v>https://www.ycombinator.com/companies/humwork/jobs</x:v>
      </x:c>
      <x:c r="R29" s="111" t="n">
        <x:v>46233</x:v>
      </x:c>
    </x:row>
    <x:row r="30" ht="46" customHeight="1">
      <x:c r="A30" s="105" t="str">
        <x:v>Software</x:v>
      </x:c>
      <x:c r="B30" s="112" t="str">
        <x:v>Minicor</x:v>
      </x:c>
      <x:c r="C30" s="108" t="n">
        <x:v>7</x:v>
      </x:c>
      <x:c r="D30" s="65" t="str">
        <x:v>San Francisco, CA, USA</x:v>
      </x:c>
      <x:c r="E30" s="65" t="str">
        <x:v>Scalable windows desktop automations</x:v>
      </x:c>
      <x:c r="F30" s="109" t="str">
        <x:v>Yes</x:v>
      </x:c>
      <x:c r="G30" s="108" t="n">
        <x:v>1</x:v>
      </x:c>
      <x:c r="H30" s="109" t="str">
        <x:v>Adjacent match</x:v>
      </x:c>
      <x:c r="I30" s="110" t="str">
        <x:f>IF(H30="Direct match","YES — aligned role",IF(H30="Adjacent match","MAYBE — adjacent role","LIMITED — no direct SEO/PM role"))</x:f>
        <x:v>MAYBE — adjacent role</x:v>
      </x:c>
      <x:c r="J30" s="65" t="str">
        <x:v>Product Engineer</x:v>
      </x:c>
      <x:c r="K30" s="65" t="str">
        <x:v>Founder / Product decision-maker</x:v>
      </x:c>
      <x:c r="L30" s="65" t="str">
        <x:v>Saheed Akinbile</x:v>
      </x:c>
      <x:c r="M30" s="65" t="str">
        <x:v>Co-founder &amp; CTO</x:v>
      </x:c>
      <x:c r="N30" s="65" t="str">
        <x:v>https://linkedin.com/in/saheed-akinbile</x:v>
      </x:c>
      <x:c r="O30" s="65" t="str">
        <x:v>https://www.ycombinator.com/companies/minicor/jobs/mDMbXZk-product-engineer</x:v>
      </x:c>
      <x:c r="P30" s="65" t="str">
        <x:v>https://minicor.com</x:v>
      </x:c>
      <x:c r="Q30" s="65" t="str">
        <x:v>https://www.ycombinator.com/companies/minicor/jobs</x:v>
      </x:c>
      <x:c r="R30" s="111" t="n">
        <x:v>46233</x:v>
      </x:c>
    </x:row>
    <x:row r="31" ht="46" customHeight="1">
      <x:c r="A31" s="105" t="str">
        <x:v>Software</x:v>
      </x:c>
      <x:c r="B31" s="112" t="str">
        <x:v>MochaCare</x:v>
      </x:c>
      <x:c r="C31" s="108" t="n">
        <x:v>2</x:v>
      </x:c>
      <x:c r="D31" s="65" t="str">
        <x:v>San Francisco, CA, USA</x:v>
      </x:c>
      <x:c r="E31" s="65" t="str">
        <x:v>Agentic Management Service for Care Organizations</x:v>
      </x:c>
      <x:c r="F31" s="109" t="str">
        <x:v>Yes</x:v>
      </x:c>
      <x:c r="G31" s="108" t="n">
        <x:v>1</x:v>
      </x:c>
      <x:c r="H31" s="109" t="str">
        <x:v>Adjacent match</x:v>
      </x:c>
      <x:c r="I31" s="110" t="str">
        <x:f>IF(H31="Direct match","YES — aligned role",IF(H31="Adjacent match","MAYBE — adjacent role","LIMITED — no direct SEO/PM role"))</x:f>
        <x:v>MAYBE — adjacent role</x:v>
      </x:c>
      <x:c r="J31" s="65" t="str">
        <x:v>Founding Product Engineer</x:v>
      </x:c>
      <x:c r="K31" s="65" t="str">
        <x:v>Founder / Product decision-maker</x:v>
      </x:c>
      <x:c r="L31" s="65" t="str">
        <x:v>Pranav Uppiliappan</x:v>
      </x:c>
      <x:c r="M31" s="65" t="str">
        <x:v>Founder</x:v>
      </x:c>
      <x:c r="N31" s="65" t="str">
        <x:v>https://linkedin.com/in/pranav-uppiliappan/</x:v>
      </x:c>
      <x:c r="O31" s="65" t="str">
        <x:v>https://www.ycombinator.com/companies/mochacare/jobs/uLiequC-founding-product-engineer</x:v>
      </x:c>
      <x:c r="P31" s="65" t="str">
        <x:v>https://www.mochacare.com/</x:v>
      </x:c>
      <x:c r="Q31" s="65" t="str">
        <x:v>https://www.ycombinator.com/companies/mochacare/jobs</x:v>
      </x:c>
      <x:c r="R31" s="111" t="n">
        <x:v>46233</x:v>
      </x:c>
    </x:row>
    <x:row r="32" ht="46" customHeight="1">
      <x:c r="A32" s="105" t="str">
        <x:v>Software</x:v>
      </x:c>
      <x:c r="B32" s="112" t="str">
        <x:v>OpenWork</x:v>
      </x:c>
      <x:c r="C32" s="108" t="n">
        <x:v>4</x:v>
      </x:c>
      <x:c r="D32" s="65" t="str">
        <x:v>San Francisco, CA, USA</x:v>
      </x:c>
      <x:c r="E32" s="65" t="str">
        <x:v>The open source alternative to Claude Cowork</x:v>
      </x:c>
      <x:c r="F32" s="109" t="str">
        <x:v>Yes</x:v>
      </x:c>
      <x:c r="G32" s="108" t="n">
        <x:v>2</x:v>
      </x:c>
      <x:c r="H32" s="109" t="str">
        <x:v>Adjacent match</x:v>
      </x:c>
      <x:c r="I32" s="110" t="str">
        <x:f>IF(H32="Direct match","YES — aligned role",IF(H32="Adjacent match","MAYBE — adjacent role","LIMITED — no direct SEO/PM role"))</x:f>
        <x:v>MAYBE — adjacent role</x:v>
      </x:c>
      <x:c r="J32" s="65" t="str">
        <x:v>Design Engineer - SF</x:v>
      </x:c>
      <x:c r="K32" s="65" t="str">
        <x:v>Founder / Product decision-maker</x:v>
      </x:c>
      <x:c r="L32" s="65" t="str">
        <x:v>Ben Shafii</x:v>
      </x:c>
      <x:c r="M32" s="65" t="str">
        <x:v>Founder</x:v>
      </x:c>
      <x:c r="N32" s="65" t="str">
        <x:v>https://www.linkedin.com/in/ben-shafii-450039107/</x:v>
      </x:c>
      <x:c r="O32" s="65" t="str">
        <x:v>https://www.ycombinator.com/companies/openwork/jobs/DCF4njj-design-engineer-sf</x:v>
      </x:c>
      <x:c r="P32" s="65" t="str">
        <x:v>https://openworklabs.com</x:v>
      </x:c>
      <x:c r="Q32" s="65" t="str">
        <x:v>https://www.ycombinator.com/companies/openwork/jobs</x:v>
      </x:c>
      <x:c r="R32" s="111" t="n">
        <x:v>46233</x:v>
      </x:c>
    </x:row>
    <x:row r="33" ht="46" customHeight="1">
      <x:c r="A33" s="105" t="str">
        <x:v>Software</x:v>
      </x:c>
      <x:c r="B33" s="112" t="str">
        <x:v>Paragon</x:v>
      </x:c>
      <x:c r="C33" s="108" t="n">
        <x:v>2</x:v>
      </x:c>
      <x:c r="D33" s="65" t="str">
        <x:v>San Francisco, CA, USA</x:v>
      </x:c>
      <x:c r="E33" s="65" t="str">
        <x:v>The AI Growth Engine for Industrials</x:v>
      </x:c>
      <x:c r="F33" s="109" t="str">
        <x:v>Yes</x:v>
      </x:c>
      <x:c r="G33" s="108" t="n">
        <x:v>2</x:v>
      </x:c>
      <x:c r="H33" s="109" t="str">
        <x:v>Adjacent match</x:v>
      </x:c>
      <x:c r="I33" s="110" t="str">
        <x:f>IF(H33="Direct match","YES — aligned role",IF(H33="Adjacent match","MAYBE — adjacent role","LIMITED — no direct SEO/PM role"))</x:f>
        <x:v>MAYBE — adjacent role</x:v>
      </x:c>
      <x:c r="J33" s="65" t="str">
        <x:v>Founding Sales</x:v>
      </x:c>
      <x:c r="K33" s="65" t="str">
        <x:v>Founder / Product decision-maker</x:v>
      </x:c>
      <x:c r="L33" s="65" t="str">
        <x:v>Kasyap Chakra</x:v>
      </x:c>
      <x:c r="M33" s="65" t="str">
        <x:v>Founder</x:v>
      </x:c>
      <x:c r="N33" s="65" t="str">
        <x:v>https://linkedin.com/in/kasyap-chakravadhanula-357b41132</x:v>
      </x:c>
      <x:c r="O33" s="65" t="str">
        <x:v>https://www.ycombinator.com/companies/deployparagon/jobs/AmShWrt-founding-sales</x:v>
      </x:c>
      <x:c r="P33" s="65" t="str">
        <x:v>https://www.runparagon.com</x:v>
      </x:c>
      <x:c r="Q33" s="65" t="str">
        <x:v>https://www.ycombinator.com/companies/deployparagon/jobs</x:v>
      </x:c>
      <x:c r="R33" s="111" t="n">
        <x:v>46233</x:v>
      </x:c>
    </x:row>
    <x:row r="34" ht="46" customHeight="1">
      <x:c r="A34" s="105" t="str">
        <x:v>Software</x:v>
      </x:c>
      <x:c r="B34" s="112" t="str">
        <x:v>Socratix AI</x:v>
      </x:c>
      <x:c r="C34" s="108" t="n">
        <x:v>4</x:v>
      </x:c>
      <x:c r="D34" s="65" t="str">
        <x:v>San Francisco, CA, USA</x:v>
      </x:c>
      <x:c r="E34" s="65" t="str">
        <x:v>AI coworkers for fraud and risk teams.</x:v>
      </x:c>
      <x:c r="F34" s="109" t="str">
        <x:v>Yes</x:v>
      </x:c>
      <x:c r="G34" s="108" t="n">
        <x:v>2</x:v>
      </x:c>
      <x:c r="H34" s="109" t="str">
        <x:v>Adjacent match</x:v>
      </x:c>
      <x:c r="I34" s="110" t="str">
        <x:f>IF(H34="Direct match","YES — aligned role",IF(H34="Adjacent match","MAYBE — adjacent role","LIMITED — no direct SEO/PM role"))</x:f>
        <x:v>MAYBE — adjacent role</x:v>
      </x:c>
      <x:c r="J34" s="65" t="str">
        <x:v>Founding Chief of Staff/ Head of BizOps</x:v>
      </x:c>
      <x:c r="K34" s="65" t="str">
        <x:v>Founder / Product decision-maker</x:v>
      </x:c>
      <x:c r="L34" s="65" t="str">
        <x:v>Riya Jagetia</x:v>
      </x:c>
      <x:c r="M34" s="65" t="str">
        <x:v>Co-Founder &amp; CEO</x:v>
      </x:c>
      <x:c r="N34" s="65" t="str">
        <x:v>https://www.linkedin.com/in/riya-jagetia/</x:v>
      </x:c>
      <x:c r="O34" s="65" t="str">
        <x:v>https://www.ycombinator.com/companies/socratix-ai/jobs/cLGHKct-founding-chief-of-staff-head-of-bizops</x:v>
      </x:c>
      <x:c r="P34" s="65" t="str">
        <x:v>https://getsocratix.ai</x:v>
      </x:c>
      <x:c r="Q34" s="65" t="str">
        <x:v>https://www.ycombinator.com/companies/socratix-ai/jobs</x:v>
      </x:c>
      <x:c r="R34" s="111" t="n">
        <x:v>46233</x:v>
      </x:c>
    </x:row>
    <x:row r="35" ht="46" customHeight="1">
      <x:c r="A35" s="105" t="str">
        <x:v>Software</x:v>
      </x:c>
      <x:c r="B35" s="112" t="str">
        <x:v>Sparkles</x:v>
      </x:c>
      <x:c r="C35" s="108" t="n">
        <x:v>1</x:v>
      </x:c>
      <x:c r="D35" s="65" t="str">
        <x:v>San Francisco, CA, USA</x:v>
      </x:c>
      <x:c r="E35" s="65" t="str">
        <x:v>Make everyone on your team an engineer</x:v>
      </x:c>
      <x:c r="F35" s="109" t="str">
        <x:v>Yes</x:v>
      </x:c>
      <x:c r="G35" s="108" t="n">
        <x:v>1</x:v>
      </x:c>
      <x:c r="H35" s="109" t="str">
        <x:v>Adjacent match</x:v>
      </x:c>
      <x:c r="I35" s="110" t="str">
        <x:f>IF(H35="Direct match","YES — aligned role",IF(H35="Adjacent match","MAYBE — adjacent role","LIMITED — no direct SEO/PM role"))</x:f>
        <x:v>MAYBE — adjacent role</x:v>
      </x:c>
      <x:c r="J35" s="65" t="str">
        <x:v>Founding Product Engineer</x:v>
      </x:c>
      <x:c r="K35" s="65" t="str">
        <x:v>Founder / Product decision-maker</x:v>
      </x:c>
      <x:c r="L35" s="65" t="str">
        <x:v>Ai Daniil Bekirov</x:v>
      </x:c>
      <x:c r="M35" s="65" t="str">
        <x:v>Founder</x:v>
      </x:c>
      <x:c r="N35" s="65" t="str">
        <x:v>https://www.linkedin.com/in/aidaniilbekirov/</x:v>
      </x:c>
      <x:c r="O35" s="65" t="str">
        <x:v>https://www.ycombinator.com/companies/sparkles/jobs/dfWPhgs-founding-product-engineer</x:v>
      </x:c>
      <x:c r="P35" s="65" t="str">
        <x:v>https://sparkles.dev</x:v>
      </x:c>
      <x:c r="Q35" s="65" t="str">
        <x:v>https://www.ycombinator.com/companies/sparkles/jobs</x:v>
      </x:c>
      <x:c r="R35" s="111" t="n">
        <x:v>46233</x:v>
      </x:c>
    </x:row>
    <x:row r="36" ht="46" customHeight="1">
      <x:c r="A36" s="105" t="str">
        <x:v>Software</x:v>
      </x:c>
      <x:c r="B36" s="112" t="str">
        <x:v>Tasklet</x:v>
      </x:c>
      <x:c r="C36" s="108" t="n">
        <x:v>8</x:v>
      </x:c>
      <x:c r="D36" s="65" t="str">
        <x:v>San Francisco, CA, USA</x:v>
      </x:c>
      <x:c r="E36" s="65" t="str">
        <x:v>Agents that own the work</x:v>
      </x:c>
      <x:c r="F36" s="109" t="str">
        <x:v>Yes</x:v>
      </x:c>
      <x:c r="G36" s="108" t="n">
        <x:v>6</x:v>
      </x:c>
      <x:c r="H36" s="109" t="str">
        <x:v>Adjacent match</x:v>
      </x:c>
      <x:c r="I36" s="110" t="str">
        <x:f>IF(H36="Direct match","YES — aligned role",IF(H36="Adjacent match","MAYBE — adjacent role","LIMITED — no direct SEO/PM role"))</x:f>
        <x:v>MAYBE — adjacent role</x:v>
      </x:c>
      <x:c r="J36" s="65" t="str">
        <x:v>Customer Success Engineer | Sales Executive | Head of Design Engineering</x:v>
      </x:c>
      <x:c r="K36" s="65" t="str">
        <x:v>Founder / Product decision-maker</x:v>
      </x:c>
      <x:c r="L36" s="65" t="str">
        <x:v>Jonny Dimond</x:v>
      </x:c>
      <x:c r="M36" s="65" t="str">
        <x:v>Founder</x:v>
      </x:c>
      <x:c r="N36" s="65" t="str">
        <x:v>https://www.linkedin.com/in/jonnydimond/</x:v>
      </x:c>
      <x:c r="O36" s="65" t="str">
        <x:v>https://www.ycombinator.com/companies/tasklet-2/jobs/UcpBWuw-customer-success-engineer</x:v>
      </x:c>
      <x:c r="P36" s="65" t="str">
        <x:v>https://tasklet.ai</x:v>
      </x:c>
      <x:c r="Q36" s="65" t="str">
        <x:v>https://www.ycombinator.com/companies/tasklet-2/jobs</x:v>
      </x:c>
      <x:c r="R36" s="111" t="n">
        <x:v>46233</x:v>
      </x:c>
    </x:row>
    <x:row r="37" ht="46" customHeight="1">
      <x:c r="A37" s="105" t="str">
        <x:v>Software</x:v>
      </x:c>
      <x:c r="B37" s="112" t="str">
        <x:v>Aurorin CAD</x:v>
      </x:c>
      <x:c r="C37" s="108" t="n">
        <x:v>1</x:v>
      </x:c>
      <x:c r="D37" s="65" t="str">
        <x:v>San Francisco, CA, USA</x:v>
      </x:c>
      <x:c r="E37" s="65" t="str">
        <x:v>Claude code for Mechanical Engineers</x:v>
      </x:c>
      <x:c r="F37" s="109" t="str">
        <x:v>Yes</x:v>
      </x:c>
      <x:c r="G37" s="108" t="n">
        <x:v>1</x:v>
      </x:c>
      <x:c r="H37" s="109" t="str">
        <x:v>No direct SEO/PM match</x:v>
      </x:c>
      <x:c r="I37" s="110" t="str">
        <x:f>IF(H37="Direct match","YES — aligned role",IF(H37="Adjacent match","MAYBE — adjacent role","LIMITED — no direct SEO/PM role"))</x:f>
        <x:v>LIMITED — no direct SEO/PM role</x:v>
      </x:c>
      <x:c r="J37" s="65" t="str">
        <x:v>Founding Engineer</x:v>
      </x:c>
      <x:c r="K37" s="65" t="str">
        <x:v>Founder / Product decision-maker</x:v>
      </x:c>
      <x:c r="L37" s="65" t="str">
        <x:v>Michael Baron</x:v>
      </x:c>
      <x:c r="M37" s="65" t="str">
        <x:v>Founder</x:v>
      </x:c>
      <x:c r="N37" s="65" t="str">
        <x:v>https://www.linkedin.com/in/michael-andrew-baron/</x:v>
      </x:c>
      <x:c r="O37" s="65" t="str">
        <x:v>https://www.ycombinator.com/companies/aurorin-cad/jobs/R3tKam9-founding-engineer</x:v>
      </x:c>
      <x:c r="P37" s="65" t="str">
        <x:v>https://aurorincad.com</x:v>
      </x:c>
      <x:c r="Q37" s="65" t="str">
        <x:v>https://www.ycombinator.com/companies/aurorin-cad/jobs</x:v>
      </x:c>
      <x:c r="R37" s="111" t="n">
        <x:v>46233</x:v>
      </x:c>
    </x:row>
    <x:row r="38" ht="46" customHeight="1">
      <x:c r="A38" s="105" t="str">
        <x:v>Software</x:v>
      </x:c>
      <x:c r="B38" s="112" t="str">
        <x:v>Cumulus Labs</x:v>
      </x:c>
      <x:c r="C38" s="108" t="n">
        <x:v>2</x:v>
      </x:c>
      <x:c r="D38" s="65" t="str">
        <x:v>San Francisco, CA, USA</x:v>
      </x:c>
      <x:c r="E38" s="65" t="str">
        <x:v>The Fastest Multimodal Inference OS</x:v>
      </x:c>
      <x:c r="F38" s="109" t="str">
        <x:v>Yes</x:v>
      </x:c>
      <x:c r="G38" s="108" t="n">
        <x:v>1</x:v>
      </x:c>
      <x:c r="H38" s="109" t="str">
        <x:v>No direct SEO/PM match</x:v>
      </x:c>
      <x:c r="I38" s="110" t="str">
        <x:f>IF(H38="Direct match","YES — aligned role",IF(H38="Adjacent match","MAYBE — adjacent role","LIMITED — no direct SEO/PM role"))</x:f>
        <x:v>LIMITED — no direct SEO/PM role</x:v>
      </x:c>
      <x:c r="J38" s="65" t="str">
        <x:v>Founding Engineer — ML Platforms Engineer</x:v>
      </x:c>
      <x:c r="K38" s="65" t="str">
        <x:v>Founder / Product decision-maker</x:v>
      </x:c>
      <x:c r="L38" s="65" t="str">
        <x:v>Veer Shah</x:v>
      </x:c>
      <x:c r="M38" s="65" t="str">
        <x:v>Founder</x:v>
      </x:c>
      <x:c r="N38" s="65" t="str">
        <x:v>https://www.linkedin.com/in/veer-shah-62aa8526a/</x:v>
      </x:c>
      <x:c r="O38" s="65" t="str">
        <x:v>https://www.ycombinator.com/companies/cumulus-labs/jobs/xfY8M84-founding-engineer-ml-platforms-engineer</x:v>
      </x:c>
      <x:c r="P38" s="65" t="str">
        <x:v>https://cumuluslabs.io</x:v>
      </x:c>
      <x:c r="Q38" s="65" t="str">
        <x:v>https://www.ycombinator.com/companies/cumulus-labs/jobs</x:v>
      </x:c>
      <x:c r="R38" s="111" t="n">
        <x:v>46233</x:v>
      </x:c>
    </x:row>
    <x:row r="39" ht="46" customHeight="1">
      <x:c r="A39" s="105" t="str">
        <x:v>Software</x:v>
      </x:c>
      <x:c r="B39" s="112" t="str">
        <x:v>PerfectBit, Inc.</x:v>
      </x:c>
      <x:c r="C39" s="108" t="n">
        <x:v>2</x:v>
      </x:c>
      <x:c r="D39" s="65" t="str">
        <x:v>San Francisco, CA, USA</x:v>
      </x:c>
      <x:c r="E39" s="65" t="str">
        <x:v>Correct by construction AI training data</x:v>
      </x:c>
      <x:c r="F39" s="109" t="str">
        <x:v>Yes</x:v>
      </x:c>
      <x:c r="G39" s="108" t="n">
        <x:v>1</x:v>
      </x:c>
      <x:c r="H39" s="109" t="str">
        <x:v>No direct SEO/PM match</x:v>
      </x:c>
      <x:c r="I39" s="110" t="str">
        <x:f>IF(H39="Direct match","YES — aligned role",IF(H39="Adjacent match","MAYBE — adjacent role","LIMITED — no direct SEO/PM role"))</x:f>
        <x:v>LIMITED — no direct SEO/PM role</x:v>
      </x:c>
      <x:c r="J39" s="65" t="str">
        <x:v>Hiring Research Scientists and Research Engineers at PerfectBit</x:v>
      </x:c>
      <x:c r="K39" s="65" t="str">
        <x:v>Founder / Product decision-maker</x:v>
      </x:c>
      <x:c r="L39" s="65" t="str">
        <x:v>Peter Vajda</x:v>
      </x:c>
      <x:c r="M39" s="65" t="str">
        <x:v>Founder</x:v>
      </x:c>
      <x:c r="N39" s="65" t="str">
        <x:v>https://www.linkedin.com/in/p%C3%A9ter-vajda-9a03aaa/</x:v>
      </x:c>
      <x:c r="O39" s="65" t="str">
        <x:v>https://www.ycombinator.com/companies/perfectbit-inc/jobs/snGw8px-hiring-research-scientists-and-research-engineers-at-perfectbit</x:v>
      </x:c>
      <x:c r="P39" s="65" t="str">
        <x:v>https://perfectbit.ai</x:v>
      </x:c>
      <x:c r="Q39" s="65" t="str">
        <x:v>https://www.ycombinator.com/companies/perfectbit-inc/jobs</x:v>
      </x:c>
      <x:c r="R39" s="111" t="n">
        <x:v>46233</x:v>
      </x:c>
    </x:row>
    <x:row r="40" ht="46" customHeight="1">
      <x:c r="A40" s="105" t="str">
        <x:v>Software</x:v>
      </x:c>
      <x:c r="B40" s="112" t="str">
        <x:v>Prototyping.io</x:v>
      </x:c>
      <x:c r="C40" s="108" t="n">
        <x:v>2</x:v>
      </x:c>
      <x:c r="D40" s="65" t="str">
        <x:v>San Francisco, CA, USA</x:v>
      </x:c>
      <x:c r="E40" s="65" t="str">
        <x:v>Autonomous manufacturing for mechanical parts</x:v>
      </x:c>
      <x:c r="F40" s="109" t="str">
        <x:v>Yes</x:v>
      </x:c>
      <x:c r="G40" s="108" t="n">
        <x:v>2</x:v>
      </x:c>
      <x:c r="H40" s="109" t="str">
        <x:v>No direct SEO/PM match</x:v>
      </x:c>
      <x:c r="I40" s="110" t="str">
        <x:f>IF(H40="Direct match","YES — aligned role",IF(H40="Adjacent match","MAYBE — adjacent role","LIMITED — no direct SEO/PM role"))</x:f>
        <x:v>LIMITED — no direct SEO/PM role</x:v>
      </x:c>
      <x:c r="J40" s="65" t="str">
        <x:v>Founding AI Software Engineer | Founding Manufacturing Operations Lead</x:v>
      </x:c>
      <x:c r="K40" s="65" t="str">
        <x:v>Founder / Product decision-maker</x:v>
      </x:c>
      <x:c r="L40" s="65" t="str">
        <x:v>Revanth Bodepudi</x:v>
      </x:c>
      <x:c r="M40" s="65" t="str">
        <x:v>Founder, CEO</x:v>
      </x:c>
      <x:c r="N40" s="65" t="str">
        <x:v>https://www.linkedin.com/in/revanth279/</x:v>
      </x:c>
      <x:c r="O40" s="65" t="str">
        <x:v>https://www.ycombinator.com/companies/prototypingio/jobs/meJTkg0-founding-ai-software-engineer</x:v>
      </x:c>
      <x:c r="P40" s="65" t="str">
        <x:v>https://www.prototyping.io</x:v>
      </x:c>
      <x:c r="Q40" s="65" t="str">
        <x:v>https://www.ycombinator.com/companies/prototypingio/jobs</x:v>
      </x:c>
      <x:c r="R40" s="111" t="n">
        <x:v>46233</x:v>
      </x:c>
    </x:row>
    <x:row r="41" ht="46" customHeight="1">
      <x:c r="A41" s="105" t="str">
        <x:v>Software</x:v>
      </x:c>
      <x:c r="B41" s="112" t="str">
        <x:v>Rhizome AI</x:v>
      </x:c>
      <x:c r="C41" s="108" t="n">
        <x:v>1</x:v>
      </x:c>
      <x:c r="D41" s="65" t="str">
        <x:v>New York City, NY, USA; Remote</x:v>
      </x:c>
      <x:c r="E41" s="65" t="str">
        <x:v>Agent Platform for Life Sciences</x:v>
      </x:c>
      <x:c r="F41" s="109" t="str">
        <x:v>Yes</x:v>
      </x:c>
      <x:c r="G41" s="108" t="n">
        <x:v>1</x:v>
      </x:c>
      <x:c r="H41" s="109" t="str">
        <x:v>No direct SEO/PM match</x:v>
      </x:c>
      <x:c r="I41" s="110" t="str">
        <x:f>IF(H41="Direct match","YES — aligned role",IF(H41="Adjacent match","MAYBE — adjacent role","LIMITED — no direct SEO/PM role"))</x:f>
        <x:v>LIMITED — no direct SEO/PM role</x:v>
      </x:c>
      <x:c r="J41" s="65" t="str">
        <x:v>Founding Full Stack AI Engineer </x:v>
      </x:c>
      <x:c r="K41" s="65" t="str">
        <x:v>Founder / Product decision-maker</x:v>
      </x:c>
      <x:c r="L41" s="65" t="str">
        <x:v>Chetan Mishra</x:v>
      </x:c>
      <x:c r="M41" s="65" t="str">
        <x:v>Founder</x:v>
      </x:c>
      <x:c r="N41" s="65" t="str">
        <x:v>https://linkedin.com/in/chemishra</x:v>
      </x:c>
      <x:c r="O41" s="65" t="str">
        <x:v>https://www.ycombinator.com/companies/rhizome-ai/jobs/Qi521kH-founding-full-stack-ai-engineer</x:v>
      </x:c>
      <x:c r="P41" s="65" t="str">
        <x:v>https://rhizomeai.com/</x:v>
      </x:c>
      <x:c r="Q41" s="65" t="str">
        <x:v>https://www.ycombinator.com/companies/rhizome-ai/jobs</x:v>
      </x:c>
      <x:c r="R41" s="111" t="n">
        <x:v>46233</x:v>
      </x:c>
    </x:row>
    <x:row r="42" ht="46" customHeight="1">
      <x:c r="A42" s="105" t="str">
        <x:v>AI</x:v>
      </x:c>
      <x:c r="B42" s="112" t="str">
        <x:v>a0.dev</x:v>
      </x:c>
      <x:c r="C42" s="108" t="n">
        <x:v>3</x:v>
      </x:c>
      <x:c r="D42" s="65" t="str">
        <x:v>San Francisco, CA, USA</x:v>
      </x:c>
      <x:c r="E42" s="65" t="str">
        <x:v>We make mobile apps using AI.</x:v>
      </x:c>
      <x:c r="F42" s="109" t="str">
        <x:v>Yes</x:v>
      </x:c>
      <x:c r="G42" s="108" t="n">
        <x:v>2</x:v>
      </x:c>
      <x:c r="H42" s="109" t="str">
        <x:v>Direct match</x:v>
      </x:c>
      <x:c r="I42" s="110" t="str">
        <x:f>IF(H42="Direct match","YES — aligned role",IF(H42="Adjacent match","MAYBE — adjacent role","LIMITED — no direct SEO/PM role"))</x:f>
        <x:v>YES — aligned role</x:v>
      </x:c>
      <x:c r="J42" s="65" t="str">
        <x:v>Founding Brand and Content Lead (Contract-to-Hire) | Founding Growth Lead (Contract-to-Hire)</x:v>
      </x:c>
      <x:c r="K42" s="65" t="str">
        <x:v>Founder / Product decision-maker</x:v>
      </x:c>
      <x:c r="L42" s="65" t="str">
        <x:v>Ayomide Omolewa</x:v>
      </x:c>
      <x:c r="M42" s="65" t="str">
        <x:v>Co-Founder</x:v>
      </x:c>
      <x:c r="N42" s="65" t="str">
        <x:v>https://linkedin.com/in/omolewa</x:v>
      </x:c>
      <x:c r="O42" s="65" t="str">
        <x:v>https://www.ycombinator.com/companies/a0-dev/jobs/SbEHSvR-founding-brand-and-content-lead-contract-to-hire</x:v>
      </x:c>
      <x:c r="P42" s="65" t="str">
        <x:v>https://a0.dev</x:v>
      </x:c>
      <x:c r="Q42" s="65" t="str">
        <x:v>https://www.ycombinator.com/companies/a0-dev/jobs</x:v>
      </x:c>
      <x:c r="R42" s="111" t="n">
        <x:v>46233</x:v>
      </x:c>
    </x:row>
    <x:row r="43" ht="46" customHeight="1">
      <x:c r="A43" s="105" t="str">
        <x:v>AI</x:v>
      </x:c>
      <x:c r="B43" s="112" t="str">
        <x:v>Abundant</x:v>
      </x:c>
      <x:c r="C43" s="108" t="n">
        <x:v>7</x:v>
      </x:c>
      <x:c r="D43" s="65" t="str">
        <x:v>San Francisco, CA, USA</x:v>
      </x:c>
      <x:c r="E43" s="65" t="str">
        <x:v>Agent simulation and RL for researchers</x:v>
      </x:c>
      <x:c r="F43" s="109" t="str">
        <x:v>Yes</x:v>
      </x:c>
      <x:c r="G43" s="108" t="n">
        <x:v>3</x:v>
      </x:c>
      <x:c r="H43" s="109" t="str">
        <x:v>Direct match</x:v>
      </x:c>
      <x:c r="I43" s="110" t="str">
        <x:f>IF(H43="Direct match","YES — aligned role",IF(H43="Adjacent match","MAYBE — adjacent role","LIMITED — no direct SEO/PM role"))</x:f>
        <x:v>YES — aligned role</x:v>
      </x:c>
      <x:c r="J43" s="65" t="str">
        <x:v>Research Product Manager (RPM)</x:v>
      </x:c>
      <x:c r="K43" s="65" t="str">
        <x:v>Founder / Product decision-maker</x:v>
      </x:c>
      <x:c r="L43" s="65" t="str">
        <x:v>Meji Abidoye</x:v>
      </x:c>
      <x:c r="M43" s="65" t="str">
        <x:v>Founder</x:v>
      </x:c>
      <x:c r="N43" s="65" t="str">
        <x:v>https://www.linkedin.com/in/meji-abidoye/</x:v>
      </x:c>
      <x:c r="O43" s="65" t="str">
        <x:v>https://www.ycombinator.com/companies/abundant/jobs/JwEdqEs-research-product-manager-rpm</x:v>
      </x:c>
      <x:c r="P43" s="65" t="str">
        <x:v>https://www.abundant.ai/</x:v>
      </x:c>
      <x:c r="Q43" s="65" t="str">
        <x:v>https://www.ycombinator.com/companies/abundant/jobs</x:v>
      </x:c>
      <x:c r="R43" s="111" t="n">
        <x:v>46233</x:v>
      </x:c>
    </x:row>
    <x:row r="44" ht="46" customHeight="1">
      <x:c r="A44" s="105" t="str">
        <x:v>AI</x:v>
      </x:c>
      <x:c r="B44" s="112" t="str">
        <x:v>COACH</x:v>
      </x:c>
      <x:c r="C44" s="108" t="n">
        <x:v>4</x:v>
      </x:c>
      <x:c r="D44" s="65" t="str">
        <x:v>San Francisco, CA, USA</x:v>
      </x:c>
      <x:c r="E44" s="65" t="str">
        <x:v>The AI Coach for in person sales reps.</x:v>
      </x:c>
      <x:c r="F44" s="109" t="str">
        <x:v>Yes</x:v>
      </x:c>
      <x:c r="G44" s="108" t="n">
        <x:v>1</x:v>
      </x:c>
      <x:c r="H44" s="109" t="str">
        <x:v>Direct match</x:v>
      </x:c>
      <x:c r="I44" s="110" t="str">
        <x:f>IF(H44="Direct match","YES — aligned role",IF(H44="Adjacent match","MAYBE — adjacent role","LIMITED — no direct SEO/PM role"))</x:f>
        <x:v>YES — aligned role</x:v>
      </x:c>
      <x:c r="J44" s="65" t="str">
        <x:v>Brand / Product Designer</x:v>
      </x:c>
      <x:c r="K44" s="65" t="str">
        <x:v>Founder / Product decision-maker</x:v>
      </x:c>
      <x:c r="L44" s="65" t="str">
        <x:v>Mathieu Perez</x:v>
      </x:c>
      <x:c r="M44" s="65" t="str">
        <x:v>Founder</x:v>
      </x:c>
      <x:c r="N44" s="65" t="str">
        <x:v>https://www.linkedin.com/in/mathieu-perez-719019201/</x:v>
      </x:c>
      <x:c r="O44" s="65" t="str">
        <x:v>https://www.ycombinator.com/companies/ai-coach/jobs/RnvXwlE-brand-product-designer</x:v>
      </x:c>
      <x:c r="P44" s="65" t="str">
        <x:v>https://www.getcoach.com/</x:v>
      </x:c>
      <x:c r="Q44" s="65" t="str">
        <x:v>https://www.ycombinator.com/companies/ai-coach/jobs</x:v>
      </x:c>
      <x:c r="R44" s="111" t="n">
        <x:v>46233</x:v>
      </x:c>
    </x:row>
    <x:row r="45" ht="46" customHeight="1">
      <x:c r="A45" s="105" t="str">
        <x:v>AI</x:v>
      </x:c>
      <x:c r="B45" s="112" t="str">
        <x:v>Confident AI</x:v>
      </x:c>
      <x:c r="C45" s="108" t="n">
        <x:v>7</x:v>
      </x:c>
      <x:c r="D45" s="65" t="str">
        <x:v>San Francisco, CA, USA</x:v>
      </x:c>
      <x:c r="E45" s="65" t="str">
        <x:v>The LLM Eval and Observability Platform for AI Quality</x:v>
      </x:c>
      <x:c r="F45" s="109" t="str">
        <x:v>Yes</x:v>
      </x:c>
      <x:c r="G45" s="108" t="n">
        <x:v>4</x:v>
      </x:c>
      <x:c r="H45" s="109" t="str">
        <x:v>Direct match</x:v>
      </x:c>
      <x:c r="I45" s="110" t="str">
        <x:f>IF(H45="Direct match","YES — aligned role",IF(H45="Adjacent match","MAYBE — adjacent role","LIMITED — no direct SEO/PM role"))</x:f>
        <x:v>YES — aligned role</x:v>
      </x:c>
      <x:c r="J45" s="65" t="str">
        <x:v>Founding Open Source Growth Engineer</x:v>
      </x:c>
      <x:c r="K45" s="65" t="str">
        <x:v>Founder / Product decision-maker</x:v>
      </x:c>
      <x:c r="L45" s="65" t="str">
        <x:v>Jeffrey Ip</x:v>
      </x:c>
      <x:c r="M45" s="65" t="str">
        <x:v>CEO &amp; Cofounder</x:v>
      </x:c>
      <x:c r="N45" s="65" t="str">
        <x:v>https://linkedin.com/in/jeffrey-ip-2295ab224</x:v>
      </x:c>
      <x:c r="O45" s="65" t="str">
        <x:v>https://www.ycombinator.com/companies/confident-ai/jobs/mgnw9YM-founding-open-source-growth-engineer</x:v>
      </x:c>
      <x:c r="P45" s="65" t="str">
        <x:v>https://confident-ai.com</x:v>
      </x:c>
      <x:c r="Q45" s="65" t="str">
        <x:v>https://www.ycombinator.com/companies/confident-ai/jobs</x:v>
      </x:c>
      <x:c r="R45" s="111" t="n">
        <x:v>46233</x:v>
      </x:c>
    </x:row>
    <x:row r="46" ht="46" customHeight="1">
      <x:c r="A46" s="105" t="str">
        <x:v>AI</x:v>
      </x:c>
      <x:c r="B46" s="112" t="str">
        <x:v>Dench.com</x:v>
      </x:c>
      <x:c r="C46" s="108" t="n">
        <x:v>6</x:v>
      </x:c>
      <x:c r="D46" s="65" t="str">
        <x:v>San Francisco, CA, USA</x:v>
      </x:c>
      <x:c r="E46" s="65" t="str">
        <x:v>Open Source AI CRM built on top of OpenClaw</x:v>
      </x:c>
      <x:c r="F46" s="109" t="str">
        <x:v>Yes</x:v>
      </x:c>
      <x:c r="G46" s="108" t="n">
        <x:v>2</x:v>
      </x:c>
      <x:c r="H46" s="109" t="str">
        <x:v>Direct match</x:v>
      </x:c>
      <x:c r="I46" s="110" t="str">
        <x:f>IF(H46="Direct match","YES — aligned role",IF(H46="Adjacent match","MAYBE — adjacent role","LIMITED — no direct SEO/PM role"))</x:f>
        <x:v>YES — aligned role</x:v>
      </x:c>
      <x:c r="J46" s="65" t="str">
        <x:v>Chief Growth Strat</x:v>
      </x:c>
      <x:c r="K46" s="65" t="str">
        <x:v>Founder / Product decision-maker</x:v>
      </x:c>
      <x:c r="L46" s="65" t="str">
        <x:v>Kumar Abhirup</x:v>
      </x:c>
      <x:c r="M46" s="65" t="str">
        <x:v>Founder</x:v>
      </x:c>
      <x:c r="N46" s="65" t="str">
        <x:v>https://www.linkedin.com/in/kumareth</x:v>
      </x:c>
      <x:c r="O46" s="65" t="str">
        <x:v>https://www.ycombinator.com/companies/dench-com/jobs/cVcSPlW-chief-growth-strat</x:v>
      </x:c>
      <x:c r="P46" s="65" t="str">
        <x:v>https://dench.com</x:v>
      </x:c>
      <x:c r="Q46" s="65" t="str">
        <x:v>https://www.ycombinator.com/companies/dench-com/jobs</x:v>
      </x:c>
      <x:c r="R46" s="111" t="n">
        <x:v>46233</x:v>
      </x:c>
    </x:row>
    <x:row r="47" ht="46" customHeight="1">
      <x:c r="A47" s="105" t="str">
        <x:v>AI</x:v>
      </x:c>
      <x:c r="B47" s="112" t="str">
        <x:v>Educato</x:v>
      </x:c>
      <x:c r="C47" s="108" t="n">
        <x:v>5</x:v>
      </x:c>
      <x:c r="D47" s="65" t="str">
        <x:v>San Francisco, CA, USA; Remote</x:v>
      </x:c>
      <x:c r="E47" s="65" t="str">
        <x:v>Worldwide exam-prep platform</x:v>
      </x:c>
      <x:c r="F47" s="109" t="str">
        <x:v>Yes</x:v>
      </x:c>
      <x:c r="G47" s="108" t="n">
        <x:v>2</x:v>
      </x:c>
      <x:c r="H47" s="109" t="str">
        <x:v>Direct match</x:v>
      </x:c>
      <x:c r="I47" s="110" t="str">
        <x:f>IF(H47="Direct match","YES — aligned role",IF(H47="Adjacent match","MAYBE — adjacent role","LIMITED — no direct SEO/PM role"))</x:f>
        <x:v>YES — aligned role</x:v>
      </x:c>
      <x:c r="J47" s="65" t="str">
        <x:v>Creative Director, Viral Short-Form &amp; Creator Growth | Growth Lead - UGC &amp; Micro-Influencer marketing</x:v>
      </x:c>
      <x:c r="K47" s="65" t="str">
        <x:v>Founder / Product decision-maker</x:v>
      </x:c>
      <x:c r="L47" s="65" t="str">
        <x:v>Felix Gabler</x:v>
      </x:c>
      <x:c r="M47" s="65" t="str">
        <x:v>Founder</x:v>
      </x:c>
      <x:c r="N47" s="65" t="str">
        <x:v>https://linkedin.com/in/felix-gabler</x:v>
      </x:c>
      <x:c r="O47" s="65" t="str">
        <x:v>https://www.ycombinator.com/companies/educato/jobs/9WO0gEw-creative-director-viral-short-form-creator-growth</x:v>
      </x:c>
      <x:c r="P47" s="65" t="str">
        <x:v>https://www.educato.com/</x:v>
      </x:c>
      <x:c r="Q47" s="65" t="str">
        <x:v>https://www.ycombinator.com/companies/educato/jobs</x:v>
      </x:c>
      <x:c r="R47" s="111" t="n">
        <x:v>46233</x:v>
      </x:c>
    </x:row>
    <x:row r="48" ht="46" customHeight="1">
      <x:c r="A48" s="105" t="str">
        <x:v>AI</x:v>
      </x:c>
      <x:c r="B48" s="112" t="str">
        <x:v>Freebuff</x:v>
      </x:c>
      <x:c r="C48" s="108" t="n">
        <x:v>2</x:v>
      </x:c>
      <x:c r="D48" s="65" t="str">
        <x:v>San Francisco, CA, USA</x:v>
      </x:c>
      <x:c r="E48" s="65" t="str">
        <x:v>The 100% free coding agent</x:v>
      </x:c>
      <x:c r="F48" s="109" t="str">
        <x:v>Yes</x:v>
      </x:c>
      <x:c r="G48" s="108" t="n">
        <x:v>1</x:v>
      </x:c>
      <x:c r="H48" s="109" t="str">
        <x:v>Direct match</x:v>
      </x:c>
      <x:c r="I48" s="110" t="str">
        <x:f>IF(H48="Direct match","YES — aligned role",IF(H48="Adjacent match","MAYBE — adjacent role","LIMITED — no direct SEO/PM role"))</x:f>
        <x:v>YES — aligned role</x:v>
      </x:c>
      <x:c r="J48" s="65" t="str">
        <x:v>Marketing Intern/Contractor</x:v>
      </x:c>
      <x:c r="K48" s="65" t="str">
        <x:v>Founder / Product decision-maker</x:v>
      </x:c>
      <x:c r="L48" s="65" t="str">
        <x:v>James Grugett</x:v>
      </x:c>
      <x:c r="M48" s="65" t="str">
        <x:v>Founder</x:v>
      </x:c>
      <x:c r="N48" s="65" t="str">
        <x:v>https://www.linkedin.com/in/james-grugett</x:v>
      </x:c>
      <x:c r="O48" s="65" t="str">
        <x:v>https://www.ycombinator.com/companies/freebuff/jobs/zTd1zqA-marketing-intern-contractor</x:v>
      </x:c>
      <x:c r="P48" s="65" t="str">
        <x:v>https://freebuff.com</x:v>
      </x:c>
      <x:c r="Q48" s="65" t="str">
        <x:v>https://www.ycombinator.com/companies/freebuff/jobs</x:v>
      </x:c>
      <x:c r="R48" s="111" t="n">
        <x:v>46233</x:v>
      </x:c>
    </x:row>
    <x:row r="49" ht="46" customHeight="1">
      <x:c r="A49" s="105" t="str">
        <x:v>AI</x:v>
      </x:c>
      <x:c r="B49" s="112" t="str">
        <x:v>Manufact</x:v>
      </x:c>
      <x:c r="C49" s="108" t="n">
        <x:v>5</x:v>
      </x:c>
      <x:c r="D49" s="65" t="str">
        <x:v>San Francisco, CA, USA</x:v>
      </x:c>
      <x:c r="E49" s="65" t="str">
        <x:v>Cloud infrastructure for MCP servers and Claude / ChatGPT apps.</x:v>
      </x:c>
      <x:c r="F49" s="109" t="str">
        <x:v>Yes</x:v>
      </x:c>
      <x:c r="G49" s="108" t="n">
        <x:v>3</x:v>
      </x:c>
      <x:c r="H49" s="109" t="str">
        <x:v>Direct match</x:v>
      </x:c>
      <x:c r="I49" s="110" t="str">
        <x:f>IF(H49="Direct match","YES — aligned role",IF(H49="Adjacent match","MAYBE — adjacent role","LIMITED — no direct SEO/PM role"))</x:f>
        <x:v>YES — aligned role</x:v>
      </x:c>
      <x:c r="J49" s="65" t="str">
        <x:v>Marketing &amp; Events Lead</x:v>
      </x:c>
      <x:c r="K49" s="65" t="str">
        <x:v>Founder / Product decision-maker</x:v>
      </x:c>
      <x:c r="L49" s="65" t="str">
        <x:v>Luigi Pederzani</x:v>
      </x:c>
      <x:c r="M49" s="65" t="str">
        <x:v>Founder</x:v>
      </x:c>
      <x:c r="N49" s="65" t="str">
        <x:v>https://www.linkedin.com/in/luigipederzani</x:v>
      </x:c>
      <x:c r="O49" s="65" t="str">
        <x:v>https://www.ycombinator.com/companies/manufact/jobs/PSQXDRp-marketing-events-lead</x:v>
      </x:c>
      <x:c r="P49" s="65" t="str">
        <x:v>https://manufact.com</x:v>
      </x:c>
      <x:c r="Q49" s="65" t="str">
        <x:v>https://www.ycombinator.com/companies/manufact/jobs</x:v>
      </x:c>
      <x:c r="R49" s="111" t="n">
        <x:v>46233</x:v>
      </x:c>
    </x:row>
    <x:row r="50" ht="46" customHeight="1">
      <x:c r="A50" s="105" t="str">
        <x:v>AI</x:v>
      </x:c>
      <x:c r="B50" s="112" t="str">
        <x:v>Bond</x:v>
      </x:c>
      <x:c r="C50" s="108" t="n">
        <x:v>3</x:v>
      </x:c>
      <x:c r="D50" s="65" t="str">
        <x:v>San Francisco, CA, USA</x:v>
      </x:c>
      <x:c r="E50" s="65" t="str">
        <x:v>Your AI Chief of Staff</x:v>
      </x:c>
      <x:c r="F50" s="109" t="str">
        <x:v>Yes</x:v>
      </x:c>
      <x:c r="G50" s="108" t="n">
        <x:v>1</x:v>
      </x:c>
      <x:c r="H50" s="109" t="str">
        <x:v>Adjacent match</x:v>
      </x:c>
      <x:c r="I50" s="110" t="str">
        <x:f>IF(H50="Direct match","YES — aligned role",IF(H50="Adjacent match","MAYBE — adjacent role","LIMITED — no direct SEO/PM role"))</x:f>
        <x:v>MAYBE — adjacent role</x:v>
      </x:c>
      <x:c r="J50" s="65" t="str">
        <x:v>GTM/Customer Success Lead</x:v>
      </x:c>
      <x:c r="K50" s="65" t="str">
        <x:v>Founder / Product decision-maker</x:v>
      </x:c>
      <x:c r="L50" s="65" t="str">
        <x:v>Chloe Samaha</x:v>
      </x:c>
      <x:c r="M50" s="65" t="str">
        <x:v>Founder</x:v>
      </x:c>
      <x:c r="N50" s="65" t="str">
        <x:v>https://linkedin.com/in/chloesamaha/</x:v>
      </x:c>
      <x:c r="O50" s="65" t="str">
        <x:v>https://www.ycombinator.com/companies/bond/jobs/heVAbp8-gtm-customer-success-lead</x:v>
      </x:c>
      <x:c r="P50" s="65" t="str">
        <x:v>https://www.bondapp.io/</x:v>
      </x:c>
      <x:c r="Q50" s="65" t="str">
        <x:v>https://www.ycombinator.com/companies/bond/jobs</x:v>
      </x:c>
      <x:c r="R50" s="111" t="n">
        <x:v>46233</x:v>
      </x:c>
    </x:row>
    <x:row r="51" ht="46" customHeight="1">
      <x:c r="A51" s="105" t="str">
        <x:v>AI</x:v>
      </x:c>
      <x:c r="B51" s="112" t="str">
        <x:v>Clicks</x:v>
      </x:c>
      <x:c r="C51" s="108" t="n">
        <x:v>8</x:v>
      </x:c>
      <x:c r="D51" s="65" t="str">
        <x:v>San Francisco, CA, USA</x:v>
      </x:c>
      <x:c r="E51" s="65" t="str">
        <x:v>AI agents for your back-office operations.</x:v>
      </x:c>
      <x:c r="F51" s="109" t="str">
        <x:v>Yes</x:v>
      </x:c>
      <x:c r="G51" s="108" t="n">
        <x:v>3</x:v>
      </x:c>
      <x:c r="H51" s="109" t="str">
        <x:v>Adjacent match</x:v>
      </x:c>
      <x:c r="I51" s="110" t="str">
        <x:f>IF(H51="Direct match","YES — aligned role",IF(H51="Adjacent match","MAYBE — adjacent role","LIMITED — no direct SEO/PM role"))</x:f>
        <x:v>MAYBE — adjacent role</x:v>
      </x:c>
      <x:c r="J51" s="65" t="str">
        <x:v>Founding Customer Success Manager</x:v>
      </x:c>
      <x:c r="K51" s="65" t="str">
        <x:v>Founder / Product decision-maker</x:v>
      </x:c>
      <x:c r="L51" s="65" t="str">
        <x:v>Dominik Helmreich</x:v>
      </x:c>
      <x:c r="M51" s="65" t="str">
        <x:v>Founder</x:v>
      </x:c>
      <x:c r="N51" s="65" t="str">
        <x:v>https://www.linkedin.com/in/dominik-helmreich-30574a1b0/</x:v>
      </x:c>
      <x:c r="O51" s="65" t="str">
        <x:v>https://www.ycombinator.com/companies/clicks/jobs/W1bSKC4-founding-customer-success-manager</x:v>
      </x:c>
      <x:c r="P51" s="65" t="str">
        <x:v>https://goclicks.ai/</x:v>
      </x:c>
      <x:c r="Q51" s="65" t="str">
        <x:v>https://www.ycombinator.com/companies/clicks/jobs</x:v>
      </x:c>
      <x:c r="R51" s="111" t="n">
        <x:v>46233</x:v>
      </x:c>
    </x:row>
    <x:row r="52" ht="46" customHeight="1">
      <x:c r="A52" s="105" t="str">
        <x:v>AI</x:v>
      </x:c>
      <x:c r="B52" s="112" t="str">
        <x:v>Interfere</x:v>
      </x:c>
      <x:c r="C52" s="108" t="n">
        <x:v>8</x:v>
      </x:c>
      <x:c r="D52" s="65" t="str">
        <x:v>New York City, NY, USA</x:v>
      </x:c>
      <x:c r="E52" s="65" t="str">
        <x:v>Give engineering, product, and design teams insight into unseen issues</x:v>
      </x:c>
      <x:c r="F52" s="109" t="str">
        <x:v>Yes</x:v>
      </x:c>
      <x:c r="G52" s="108" t="n">
        <x:v>6</x:v>
      </x:c>
      <x:c r="H52" s="109" t="str">
        <x:v>Adjacent match</x:v>
      </x:c>
      <x:c r="I52" s="110" t="str">
        <x:f>IF(H52="Direct match","YES — aligned role",IF(H52="Adjacent match","MAYBE — adjacent role","LIMITED — no direct SEO/PM role"))</x:f>
        <x:v>MAYBE — adjacent role</x:v>
      </x:c>
      <x:c r="J52" s="65" t="str">
        <x:v>Founding Product Engineer</x:v>
      </x:c>
      <x:c r="K52" s="65" t="str">
        <x:v>Founder / Product decision-maker</x:v>
      </x:c>
      <x:c r="L52" s="65" t="str">
        <x:v>Luke Shiels</x:v>
      </x:c>
      <x:c r="M52" s="65" t="str">
        <x:v>Founder &amp; CEO</x:v>
      </x:c>
      <x:c r="N52" s="65" t="str">
        <x:v>https://linkedin.com/in/shiels</x:v>
      </x:c>
      <x:c r="O52" s="65" t="str">
        <x:v>https://www.ycombinator.com/companies/interfere/jobs/1GvQshp-founding-product-engineer</x:v>
      </x:c>
      <x:c r="P52" s="65" t="str">
        <x:v>https://interfere.com</x:v>
      </x:c>
      <x:c r="Q52" s="65" t="str">
        <x:v>https://www.ycombinator.com/companies/interfere/jobs</x:v>
      </x:c>
      <x:c r="R52" s="111" t="n">
        <x:v>46233</x:v>
      </x:c>
    </x:row>
    <x:row r="53" ht="46" customHeight="1">
      <x:c r="A53" s="105" t="str">
        <x:v>AI</x:v>
      </x:c>
      <x:c r="B53" s="112" t="str">
        <x:v>MorphoAI</x:v>
      </x:c>
      <x:c r="C53" s="108" t="n">
        <x:v>7</x:v>
      </x:c>
      <x:c r="D53" s="65" t="str">
        <x:v>New York City, NY, USA</x:v>
      </x:c>
      <x:c r="E53" s="65" t="str">
        <x:v>Software tool for designing robots and machines </x:v>
      </x:c>
      <x:c r="F53" s="109" t="str">
        <x:v>Yes</x:v>
      </x:c>
      <x:c r="G53" s="108" t="n">
        <x:v>2</x:v>
      </x:c>
      <x:c r="H53" s="109" t="str">
        <x:v>Adjacent match</x:v>
      </x:c>
      <x:c r="I53" s="110" t="str">
        <x:f>IF(H53="Direct match","YES — aligned role",IF(H53="Adjacent match","MAYBE — adjacent role","LIMITED — no direct SEO/PM role"))</x:f>
        <x:v>MAYBE — adjacent role</x:v>
      </x:c>
      <x:c r="J53" s="65" t="str">
        <x:v>Chief of Staff</x:v>
      </x:c>
      <x:c r="K53" s="65" t="str">
        <x:v>Founder / Product decision-maker</x:v>
      </x:c>
      <x:c r="L53" s="65" t="str">
        <x:v>Ayna Arora</x:v>
      </x:c>
      <x:c r="M53" s="65" t="str">
        <x:v>Founder + CEO</x:v>
      </x:c>
      <x:c r="N53" s="65" t="str">
        <x:v>https://www.linkedin.com/in/aynaarora/</x:v>
      </x:c>
      <x:c r="O53" s="65" t="str">
        <x:v>https://www.ycombinator.com/companies/morphoai/jobs/VvPeGQK-chief-of-staff</x:v>
      </x:c>
      <x:c r="P53" s="65" t="str">
        <x:v>https://morpho.ai/</x:v>
      </x:c>
      <x:c r="Q53" s="65" t="str">
        <x:v>https://www.ycombinator.com/companies/morphoai/jobs</x:v>
      </x:c>
      <x:c r="R53" s="111" t="n">
        <x:v>46233</x:v>
      </x:c>
    </x:row>
    <x:row r="54" ht="46" customHeight="1">
      <x:c r="A54" s="105" t="str">
        <x:v>AI</x:v>
      </x:c>
      <x:c r="B54" s="112" t="str">
        <x:v>Moss</x:v>
      </x:c>
      <x:c r="C54" s="108" t="n">
        <x:v>5</x:v>
      </x:c>
      <x:c r="D54" s="65" t="str">
        <x:v>San Francisco, CA, USA</x:v>
      </x:c>
      <x:c r="E54" s="65" t="str">
        <x:v>Real-time semantic search for Conversational AI</x:v>
      </x:c>
      <x:c r="F54" s="109" t="str">
        <x:v>Yes</x:v>
      </x:c>
      <x:c r="G54" s="108" t="n">
        <x:v>2</x:v>
      </x:c>
      <x:c r="H54" s="109" t="str">
        <x:v>Adjacent match</x:v>
      </x:c>
      <x:c r="I54" s="110" t="str">
        <x:f>IF(H54="Direct match","YES — aligned role",IF(H54="Adjacent match","MAYBE — adjacent role","LIMITED — no direct SEO/PM role"))</x:f>
        <x:v>MAYBE — adjacent role</x:v>
      </x:c>
      <x:c r="J54" s="65" t="str">
        <x:v>Founding Customer Success Manager</x:v>
      </x:c>
      <x:c r="K54" s="65" t="str">
        <x:v>Founder / Product decision-maker</x:v>
      </x:c>
      <x:c r="L54" s="65" t="str">
        <x:v>Sri Raghu Malireddi</x:v>
      </x:c>
      <x:c r="M54" s="65" t="str">
        <x:v>Founder</x:v>
      </x:c>
      <x:c r="N54" s="65" t="str">
        <x:v>https://www.linkedin.com/in/r4ghu</x:v>
      </x:c>
      <x:c r="O54" s="65" t="str">
        <x:v>https://www.ycombinator.com/companies/moss/jobs/HoI9AN3-founding-customer-success-manager</x:v>
      </x:c>
      <x:c r="P54" s="65" t="str">
        <x:v>https://moss.dev</x:v>
      </x:c>
      <x:c r="Q54" s="65" t="str">
        <x:v>https://www.ycombinator.com/companies/moss/jobs</x:v>
      </x:c>
      <x:c r="R54" s="111" t="n">
        <x:v>46233</x:v>
      </x:c>
    </x:row>
    <x:row r="55" ht="46" customHeight="1">
      <x:c r="A55" s="105" t="str">
        <x:v>AI</x:v>
      </x:c>
      <x:c r="B55" s="112" t="str">
        <x:v>MSPilot</x:v>
      </x:c>
      <x:c r="C55" s="108" t="n">
        <x:v>3</x:v>
      </x:c>
      <x:c r="D55" s="65" t="str">
        <x:v>San Francisco, CA, USA; Remote</x:v>
      </x:c>
      <x:c r="E55" s="65" t="str">
        <x:v>Turn AI adoption into a recurring revenue line.</x:v>
      </x:c>
      <x:c r="F55" s="109" t="str">
        <x:v>Yes</x:v>
      </x:c>
      <x:c r="G55" s="108" t="n">
        <x:v>2</x:v>
      </x:c>
      <x:c r="H55" s="109" t="str">
        <x:v>Adjacent match</x:v>
      </x:c>
      <x:c r="I55" s="110" t="str">
        <x:f>IF(H55="Direct match","YES — aligned role",IF(H55="Adjacent match","MAYBE — adjacent role","LIMITED — no direct SEO/PM role"))</x:f>
        <x:v>MAYBE — adjacent role</x:v>
      </x:c>
      <x:c r="J55" s="65" t="str">
        <x:v>Founding GTM Specialist - Hybrid, Ukraine/Poland</x:v>
      </x:c>
      <x:c r="K55" s="65" t="str">
        <x:v>Founder / Product decision-maker</x:v>
      </x:c>
      <x:c r="L55" s="65" t="str">
        <x:v>James Jiang</x:v>
      </x:c>
      <x:c r="M55" s="65" t="str">
        <x:v>Founder</x:v>
      </x:c>
      <x:c r="N55" s="65" t="str">
        <x:v>https://www.linkedin.com/in/jamesdreamcrafters/</x:v>
      </x:c>
      <x:c r="O55" s="65" t="str">
        <x:v>https://www.ycombinator.com/companies/mspilot/jobs/jPKyaEN-founding-gtm-specialist-hybrid-ukraine-poland</x:v>
      </x:c>
      <x:c r="P55" s="65" t="str">
        <x:v>https://mspilot.io</x:v>
      </x:c>
      <x:c r="Q55" s="65" t="str">
        <x:v>https://www.ycombinator.com/companies/mspilot/jobs</x:v>
      </x:c>
      <x:c r="R55" s="111" t="n">
        <x:v>46233</x:v>
      </x:c>
    </x:row>
    <x:row r="56" ht="46" customHeight="1">
      <x:c r="A56" s="105" t="str">
        <x:v>AI</x:v>
      </x:c>
      <x:c r="B56" s="112" t="str">
        <x:v>RamAIn</x:v>
      </x:c>
      <x:c r="C56" s="108" t="n">
        <x:v>4</x:v>
      </x:c>
      <x:c r="D56" s="65" t="str">
        <x:v>San Francisco, CA, USA</x:v>
      </x:c>
      <x:c r="E56" s="65" t="str">
        <x:v>Automate any UI task with natural language</x:v>
      </x:c>
      <x:c r="F56" s="109" t="str">
        <x:v>Yes</x:v>
      </x:c>
      <x:c r="G56" s="108" t="n">
        <x:v>2</x:v>
      </x:c>
      <x:c r="H56" s="109" t="str">
        <x:v>Adjacent match</x:v>
      </x:c>
      <x:c r="I56" s="110" t="str">
        <x:f>IF(H56="Direct match","YES — aligned role",IF(H56="Adjacent match","MAYBE — adjacent role","LIMITED — no direct SEO/PM role"))</x:f>
        <x:v>MAYBE — adjacent role</x:v>
      </x:c>
      <x:c r="J56" s="65" t="str">
        <x:v>Founding GTM Engineer</x:v>
      </x:c>
      <x:c r="K56" s="65" t="str">
        <x:v>Founder / Product decision-maker</x:v>
      </x:c>
      <x:c r="L56" s="65" t="str">
        <x:v>Shourya Vir Jain</x:v>
      </x:c>
      <x:c r="M56" s="65" t="str">
        <x:v>Co-founder</x:v>
      </x:c>
      <x:c r="N56" s="65" t="str">
        <x:v>https://www.linkedin.com/in/shouryavirjain/</x:v>
      </x:c>
      <x:c r="O56" s="65" t="str">
        <x:v>https://www.ycombinator.com/companies/ramain/jobs/hqvmyKN-founding-gtm-engineer</x:v>
      </x:c>
      <x:c r="P56" s="65" t="str">
        <x:v>https://ramain.ai</x:v>
      </x:c>
      <x:c r="Q56" s="65" t="str">
        <x:v>https://www.ycombinator.com/companies/ramain/jobs</x:v>
      </x:c>
      <x:c r="R56" s="111" t="n">
        <x:v>46233</x:v>
      </x:c>
    </x:row>
    <x:row r="57" ht="46" customHeight="1">
      <x:c r="A57" s="105" t="str">
        <x:v>AI</x:v>
      </x:c>
      <x:c r="B57" s="112" t="str">
        <x:v>Tesora</x:v>
      </x:c>
      <x:c r="C57" s="108" t="n">
        <x:v>4</x:v>
      </x:c>
      <x:c r="D57" s="65" t="str">
        <x:v>San Francisco, CA, USA</x:v>
      </x:c>
      <x:c r="E57" s="65" t="str">
        <x:v>Frontier AI for Actuaries</x:v>
      </x:c>
      <x:c r="F57" s="109" t="str">
        <x:v>Yes</x:v>
      </x:c>
      <x:c r="G57" s="108" t="n">
        <x:v>2</x:v>
      </x:c>
      <x:c r="H57" s="109" t="str">
        <x:v>Adjacent match</x:v>
      </x:c>
      <x:c r="I57" s="110" t="str">
        <x:f>IF(H57="Direct match","YES — aligned role",IF(H57="Adjacent match","MAYBE — adjacent role","LIMITED — no direct SEO/PM role"))</x:f>
        <x:v>MAYBE — adjacent role</x:v>
      </x:c>
      <x:c r="J57" s="65" t="str">
        <x:v>GTM Insurance Executive</x:v>
      </x:c>
      <x:c r="K57" s="65" t="str">
        <x:v>Founder / Product decision-maker</x:v>
      </x:c>
      <x:c r="L57" s="65" t="str">
        <x:v>Vivek Rao</x:v>
      </x:c>
      <x:c r="M57" s="65" t="str">
        <x:v>Founder / CEO</x:v>
      </x:c>
      <x:c r="N57" s="65" t="str">
        <x:v>https://www.linkedin.com/in/vivek-r-928871173/</x:v>
      </x:c>
      <x:c r="O57" s="65" t="str">
        <x:v>https://www.ycombinator.com/companies/tesora/jobs/PxgFXks-gtm-insurance-executive</x:v>
      </x:c>
      <x:c r="P57" s="65" t="str">
        <x:v>https://tesora.ai</x:v>
      </x:c>
      <x:c r="Q57" s="65" t="str">
        <x:v>https://www.ycombinator.com/companies/tesora/jobs</x:v>
      </x:c>
      <x:c r="R57" s="111" t="n">
        <x:v>46233</x:v>
      </x:c>
    </x:row>
    <x:row r="58" ht="46" customHeight="1">
      <x:c r="A58" s="105" t="str">
        <x:v>AI</x:v>
      </x:c>
      <x:c r="B58" s="112" t="str">
        <x:v>Unsiloed AI</x:v>
      </x:c>
      <x:c r="C58" s="108" t="n">
        <x:v>2</x:v>
      </x:c>
      <x:c r="D58" s="65" t="str">
        <x:v>San Francisco, CA, USA</x:v>
      </x:c>
      <x:c r="E58" s="65" t="str">
        <x:v>API for parsing multimodal unstructured data</x:v>
      </x:c>
      <x:c r="F58" s="109" t="str">
        <x:v>Yes</x:v>
      </x:c>
      <x:c r="G58" s="108" t="n">
        <x:v>3</x:v>
      </x:c>
      <x:c r="H58" s="109" t="str">
        <x:v>Adjacent match</x:v>
      </x:c>
      <x:c r="I58" s="110" t="str">
        <x:f>IF(H58="Direct match","YES — aligned role",IF(H58="Adjacent match","MAYBE — adjacent role","LIMITED — no direct SEO/PM role"))</x:f>
        <x:v>MAYBE — adjacent role</x:v>
      </x:c>
      <x:c r="J58" s="65" t="str">
        <x:v>Founding GTM Lead</x:v>
      </x:c>
      <x:c r="K58" s="65" t="str">
        <x:v>Founder / Product decision-maker</x:v>
      </x:c>
      <x:c r="L58" s="65" t="str">
        <x:v>Adnan Abbas</x:v>
      </x:c>
      <x:c r="M58" s="65" t="str">
        <x:v>Founder</x:v>
      </x:c>
      <x:c r="N58" s="65" t="str">
        <x:v>https://www.linkedin.com/in/adnan-abbas-903b711a2</x:v>
      </x:c>
      <x:c r="O58" s="65" t="str">
        <x:v>https://www.ycombinator.com/companies/unsiloed-ai/jobs/ePft6Ux-founding-gtm-lead</x:v>
      </x:c>
      <x:c r="P58" s="65" t="str">
        <x:v>https://www.unsiloed.ai/</x:v>
      </x:c>
      <x:c r="Q58" s="65" t="str">
        <x:v>https://www.ycombinator.com/companies/unsiloed-ai/jobs</x:v>
      </x:c>
      <x:c r="R58" s="111" t="n">
        <x:v>46233</x:v>
      </x:c>
    </x:row>
  </x:sheetData>
  <x:mergeCells>
    <x:mergeCell ref="A1:R1"/>
    <x:mergeCell ref="A2:R2"/>
    <x:mergeCell ref="A4:R6"/>
  </x:mergeCells>
  <x:conditionalFormatting sqref="A9:A58">
    <x:cfRule type="containsText" dxfId="0" priority="1" operator="containsText" text="Web"/>
    <x:cfRule type="containsText" dxfId="1" priority="2" operator="containsText" text="Software"/>
    <x:cfRule type="containsText" dxfId="2" priority="3" operator="containsText" text="AI"/>
  </x:conditionalFormatting>
  <x:conditionalFormatting sqref="F9:F58">
    <x:cfRule type="containsText" dxfId="3" priority="4" operator="containsText" text="Yes"/>
  </x:conditionalFormatting>
  <x:conditionalFormatting sqref="H9:H58">
    <x:cfRule type="containsText" dxfId="4" priority="5" operator="containsText" text="Direct match"/>
    <x:cfRule type="containsText" dxfId="5" priority="6" operator="containsText" text="Adjacent match"/>
    <x:cfRule type="containsText" dxfId="6" priority="7" operator="containsText" text="No direct SEO/PM match"/>
  </x:conditionalFormatting>
  <x:dataValidations count="1">
    <x:dataValidation type="list" sqref="H9:H58">
      <x:formula1>"Direct match,Adjacent match,No direct SEO/PM match"</x:formula1>
    </x:dataValidation>
  </x:dataValidations>
  <x:pageMargins left="0.7" right="0.7" top="0.75" bottom="0.75" header="0.3" footer="0.3"/>
  <x:tableParts count="1">
    <x:tablePart xmlns:r="http://schemas.openxmlformats.org/officeDocument/2006/relationships" r:id="R47ba9a1f017d41d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54" hidden="0" customWidth="1"/>
    <x:col min="4" max="4" width="48" hidden="0" customWidth="1"/>
    <x:col min="5" max="5" width="52" hidden="0" customWidth="1"/>
    <x:col min="6" max="6" width="44" hidden="0" customWidth="1"/>
    <x:col min="7" max="7" width="14" hidden="0" customWidth="1"/>
    <x:col min="8" max="8" width="54" hidden="0" customWidth="1"/>
  </x:cols>
  <x:sheetData>
    <x:row r="1" ht="36" customHeight="1">
      <x:c r="A1" s="3" t="str">
        <x:v>Sources &amp; Verification</x:v>
      </x:c>
      <x:c r="B1" s="3"/>
      <x:c r="C1" s="3"/>
      <x:c r="D1" s="3"/>
      <x:c r="E1" s="3"/>
      <x:c r="F1" s="3"/>
      <x:c r="G1" s="3"/>
      <x:c r="H1" s="3"/>
    </x:row>
    <x:row r="2" ht="30" customHeight="1">
      <x:c r="A2" s="7" t="str">
        <x:v>Each company row includes the daily company-data endpoint, official YC company profile, current jobs page, and public company LinkedIn where available.</x:v>
      </x:c>
      <x:c r="B2" s="7"/>
      <x:c r="C2" s="7"/>
      <x:c r="D2" s="7"/>
      <x:c r="E2" s="7"/>
      <x:c r="F2" s="7"/>
      <x:c r="G2" s="7"/>
      <x:c r="H2" s="7"/>
    </x:row>
    <x:row r="5" ht="32" customHeight="1">
      <x:c r="A5" s="104" t="str">
        <x:v>Company</x:v>
      </x:c>
      <x:c r="B5" s="104" t="str">
        <x:v>Category</x:v>
      </x:c>
      <x:c r="C5" s="104" t="str">
        <x:v>Company Data API</x:v>
      </x:c>
      <x:c r="D5" s="104" t="str">
        <x:v>YC Company Profile</x:v>
      </x:c>
      <x:c r="E5" s="104" t="str">
        <x:v>YC Jobs Page</x:v>
      </x:c>
      <x:c r="F5" s="104" t="str">
        <x:v>Company LinkedIn</x:v>
      </x:c>
      <x:c r="G5" s="104" t="str">
        <x:v>Verified On</x:v>
      </x:c>
      <x:c r="H5" s="104" t="str">
        <x:v>Source Note</x:v>
      </x:c>
    </x:row>
    <x:row r="6" ht="42" customHeight="1">
      <x:c r="A6" s="112" t="str">
        <x:v>Anara</x:v>
      </x:c>
      <x:c r="B6" s="105" t="str">
        <x:v>Web</x:v>
      </x:c>
      <x:c r="C6" s="65" t="str">
        <x:v>https://yc-oss.github.io/api/batches/summer-2024/anara.json</x:v>
      </x:c>
      <x:c r="D6" s="65" t="str">
        <x:v>https://www.ycombinator.com/companies/anara</x:v>
      </x:c>
      <x:c r="E6" s="65" t="str">
        <x:v>https://www.ycombinator.com/companies/anara/jobs</x:v>
      </x:c>
      <x:c r="F6" s="65" t="str">
        <x:v>https://www.linkedin.com/company/anaralabs/</x:v>
      </x:c>
      <x:c r="G6" s="111" t="n">
        <x:v>46233</x:v>
      </x:c>
      <x:c r="H6" s="65" t="str">
        <x:v>YC company data: Active, U.S.-based, Team Size 5, hiring. YC jobs page: 4 current listing(s).</x:v>
      </x:c>
    </x:row>
    <x:row r="7" ht="42" customHeight="1">
      <x:c r="A7" s="112" t="str">
        <x:v>Anglera</x:v>
      </x:c>
      <x:c r="B7" s="105" t="str">
        <x:v>Web</x:v>
      </x:c>
      <x:c r="C7" s="65" t="str">
        <x:v>https://yc-oss.github.io/api/batches/summer-2024/anglera.json</x:v>
      </x:c>
      <x:c r="D7" s="65" t="str">
        <x:v>https://www.ycombinator.com/companies/anglera</x:v>
      </x:c>
      <x:c r="E7" s="65" t="str">
        <x:v>https://www.ycombinator.com/companies/anglera/jobs</x:v>
      </x:c>
      <x:c r="F7" s="65" t="str">
        <x:v>https://www.linkedin.com/company/anglera/</x:v>
      </x:c>
      <x:c r="G7" s="111" t="n">
        <x:v>46233</x:v>
      </x:c>
      <x:c r="H7" s="65" t="str">
        <x:v>YC company data: Active, U.S.-based, Team Size 6, hiring. YC jobs page: 3 current listing(s).</x:v>
      </x:c>
    </x:row>
    <x:row r="8" ht="42" customHeight="1">
      <x:c r="A8" s="112" t="str">
        <x:v>Candle</x:v>
      </x:c>
      <x:c r="B8" s="105" t="str">
        <x:v>Web</x:v>
      </x:c>
      <x:c r="C8" s="65" t="str">
        <x:v>https://yc-oss.github.io/api/batches/fall-2024/candle.json</x:v>
      </x:c>
      <x:c r="D8" s="65" t="str">
        <x:v>https://www.ycombinator.com/companies/candle</x:v>
      </x:c>
      <x:c r="E8" s="65" t="str">
        <x:v>https://www.ycombinator.com/companies/candle/jobs</x:v>
      </x:c>
      <x:c r="F8" s="65" t="str">
        <x:v>https://www.linkedin.com/company/encore-ai-labs</x:v>
      </x:c>
      <x:c r="G8" s="111" t="n">
        <x:v>46233</x:v>
      </x:c>
      <x:c r="H8" s="65" t="str">
        <x:v>YC company data: Active, U.S.-based, Team Size 2, hiring. YC jobs page: 3 current listing(s).</x:v>
      </x:c>
    </x:row>
    <x:row r="9" ht="42" customHeight="1">
      <x:c r="A9" s="112" t="str">
        <x:v>CatchBack Cards</x:v>
      </x:c>
      <x:c r="B9" s="105" t="str">
        <x:v>Web</x:v>
      </x:c>
      <x:c r="C9" s="65" t="str">
        <x:v>https://yc-oss.github.io/api/batches/winter-2026/catchback-cards.json</x:v>
      </x:c>
      <x:c r="D9" s="65" t="str">
        <x:v>https://www.ycombinator.com/companies/catchback-cards</x:v>
      </x:c>
      <x:c r="E9" s="65" t="str">
        <x:v>https://www.ycombinator.com/companies/catchback-cards/jobs</x:v>
      </x:c>
      <x:c r="F9" s="65" t="str">
        <x:v>https://www.linkedin.com/company/109636610/admin/dashboard/</x:v>
      </x:c>
      <x:c r="G9" s="111" t="n">
        <x:v>46233</x:v>
      </x:c>
      <x:c r="H9" s="65" t="str">
        <x:v>YC company data: Active, U.S.-based, Team Size 7, hiring. YC jobs page: 2 current listing(s).</x:v>
      </x:c>
    </x:row>
    <x:row r="10" ht="42" customHeight="1">
      <x:c r="A10" s="112" t="str">
        <x:v>Elayne</x:v>
      </x:c>
      <x:c r="B10" s="105" t="str">
        <x:v>Web</x:v>
      </x:c>
      <x:c r="C10" s="65" t="str">
        <x:v>https://yc-oss.github.io/api/batches/summer-2024/elayne.json</x:v>
      </x:c>
      <x:c r="D10" s="65" t="str">
        <x:v>https://www.ycombinator.com/companies/elayne</x:v>
      </x:c>
      <x:c r="E10" s="65" t="str">
        <x:v>https://www.ycombinator.com/companies/elayne/jobs</x:v>
      </x:c>
      <x:c r="F10" s="65" t="str">
        <x:v>https://www.linkedin.com/company/meetelayne</x:v>
      </x:c>
      <x:c r="G10" s="111" t="n">
        <x:v>46233</x:v>
      </x:c>
      <x:c r="H10" s="65" t="str">
        <x:v>YC company data: Active, U.S.-based, Team Size 8, hiring. YC jobs page: 5 current listing(s).</x:v>
      </x:c>
    </x:row>
    <x:row r="11" ht="42" customHeight="1">
      <x:c r="A11" s="112" t="str">
        <x:v>Innate</x:v>
      </x:c>
      <x:c r="B11" s="105" t="str">
        <x:v>Web</x:v>
      </x:c>
      <x:c r="C11" s="65" t="str">
        <x:v>https://yc-oss.github.io/api/batches/fall-2024/innate.json</x:v>
      </x:c>
      <x:c r="D11" s="65" t="str">
        <x:v>https://www.ycombinator.com/companies/innate</x:v>
      </x:c>
      <x:c r="E11" s="65" t="str">
        <x:v>https://www.ycombinator.com/companies/innate/jobs</x:v>
      </x:c>
      <x:c r="F11" s="65" t="str">
        <x:v>https://www.linkedin.com/company/innate-bot</x:v>
      </x:c>
      <x:c r="G11" s="111" t="n">
        <x:v>46233</x:v>
      </x:c>
      <x:c r="H11" s="65" t="str">
        <x:v>YC company data: Active, U.S.-based, Team Size 7, hiring. YC jobs page: 2 current listing(s).</x:v>
      </x:c>
    </x:row>
    <x:row r="12" ht="42" customHeight="1">
      <x:c r="A12" s="112" t="str">
        <x:v>JustAI</x:v>
      </x:c>
      <x:c r="B12" s="105" t="str">
        <x:v>Web</x:v>
      </x:c>
      <x:c r="C12" s="65" t="str">
        <x:v>https://yc-oss.github.io/api/batches/winter-2024/justai.json</x:v>
      </x:c>
      <x:c r="D12" s="65" t="str">
        <x:v>https://www.ycombinator.com/companies/justai</x:v>
      </x:c>
      <x:c r="E12" s="65" t="str">
        <x:v>https://www.ycombinator.com/companies/justai/jobs</x:v>
      </x:c>
      <x:c r="F12" s="65" t="str">
        <x:v>https://www.linkedin.com/company/getjustai</x:v>
      </x:c>
      <x:c r="G12" s="111" t="n">
        <x:v>46233</x:v>
      </x:c>
      <x:c r="H12" s="65" t="str">
        <x:v>YC company data: Active, U.S.-based, Team Size 4, hiring. YC jobs page: 11 current listing(s).</x:v>
      </x:c>
    </x:row>
    <x:row r="13" ht="42" customHeight="1">
      <x:c r="A13" s="112" t="str">
        <x:v>Liva AI</x:v>
      </x:c>
      <x:c r="B13" s="105" t="str">
        <x:v>Web</x:v>
      </x:c>
      <x:c r="C13" s="65" t="str">
        <x:v>https://yc-oss.github.io/api/batches/summer-2025/liva-ai.json</x:v>
      </x:c>
      <x:c r="D13" s="65" t="str">
        <x:v>https://www.ycombinator.com/companies/liva-ai</x:v>
      </x:c>
      <x:c r="E13" s="65" t="str">
        <x:v>https://www.ycombinator.com/companies/liva-ai/jobs</x:v>
      </x:c>
      <x:c r="F13" s="65" t="str">
        <x:v>https://www.linkedin.com/company/thelivaai/</x:v>
      </x:c>
      <x:c r="G13" s="111" t="n">
        <x:v>46233</x:v>
      </x:c>
      <x:c r="H13" s="65" t="str">
        <x:v>YC company data: Active, U.S.-based, Team Size 4, hiring. YC jobs page: 2 current listing(s).</x:v>
      </x:c>
    </x:row>
    <x:row r="14" ht="42" customHeight="1">
      <x:c r="A14" s="112" t="str">
        <x:v>Manicule</x:v>
      </x:c>
      <x:c r="B14" s="105" t="str">
        <x:v>Web</x:v>
      </x:c>
      <x:c r="C14" s="65" t="str">
        <x:v>https://yc-oss.github.io/api/batches/spring-2026/manicule.json</x:v>
      </x:c>
      <x:c r="D14" s="65" t="str">
        <x:v>https://www.ycombinator.com/companies/manicule</x:v>
      </x:c>
      <x:c r="E14" s="65" t="str">
        <x:v>https://www.ycombinator.com/companies/manicule/jobs</x:v>
      </x:c>
      <x:c r="F14" s="65" t="str">
        <x:v>https://www.linkedin.com/company/manicule</x:v>
      </x:c>
      <x:c r="G14" s="111" t="n">
        <x:v>46233</x:v>
      </x:c>
      <x:c r="H14" s="65" t="str">
        <x:v>YC company data: Active, U.S.-based, Team Size 5, hiring. YC jobs page: 1 current listing(s).</x:v>
      </x:c>
    </x:row>
    <x:row r="15" ht="42" customHeight="1">
      <x:c r="A15" s="112" t="str">
        <x:v>Misprint</x:v>
      </x:c>
      <x:c r="B15" s="105" t="str">
        <x:v>Web</x:v>
      </x:c>
      <x:c r="C15" s="65" t="str">
        <x:v>https://yc-oss.github.io/api/batches/winter-2025/misprint.json</x:v>
      </x:c>
      <x:c r="D15" s="65" t="str">
        <x:v>https://www.ycombinator.com/companies/misprint</x:v>
      </x:c>
      <x:c r="E15" s="65" t="str">
        <x:v>https://www.ycombinator.com/companies/misprint/jobs</x:v>
      </x:c>
      <x:c r="F15" s="65" t="str">
        <x:v>https://www.linkedin.com/company/misprint-inc/</x:v>
      </x:c>
      <x:c r="G15" s="111" t="n">
        <x:v>46233</x:v>
      </x:c>
      <x:c r="H15" s="65" t="str">
        <x:v>YC company data: Active, U.S.-based, Team Size 4, hiring. YC jobs page: 2 current listing(s).</x:v>
      </x:c>
    </x:row>
    <x:row r="16" ht="42" customHeight="1">
      <x:c r="A16" s="112" t="str">
        <x:v>Nozomio</x:v>
      </x:c>
      <x:c r="B16" s="105" t="str">
        <x:v>Web</x:v>
      </x:c>
      <x:c r="C16" s="65" t="str">
        <x:v>https://yc-oss.github.io/api/batches/summer-2025/nozomio.json</x:v>
      </x:c>
      <x:c r="D16" s="65" t="str">
        <x:v>https://www.ycombinator.com/companies/nozomio</x:v>
      </x:c>
      <x:c r="E16" s="65" t="str">
        <x:v>https://www.ycombinator.com/companies/nozomio/jobs</x:v>
      </x:c>
      <x:c r="F16" s="65" t="str">
        <x:v>https://www.linkedin.com/company/nozomiolabs/</x:v>
      </x:c>
      <x:c r="G16" s="111" t="n">
        <x:v>46233</x:v>
      </x:c>
      <x:c r="H16" s="65" t="str">
        <x:v>YC company data: Active, U.S.-based, Team Size 5, hiring. YC jobs page: 4 current listing(s).</x:v>
      </x:c>
    </x:row>
    <x:row r="17" ht="42" customHeight="1">
      <x:c r="A17" s="112" t="str">
        <x:v>Pax Historia</x:v>
      </x:c>
      <x:c r="B17" s="105" t="str">
        <x:v>Web</x:v>
      </x:c>
      <x:c r="C17" s="65" t="str">
        <x:v>https://yc-oss.github.io/api/batches/winter-2026/pax-historia.json</x:v>
      </x:c>
      <x:c r="D17" s="65" t="str">
        <x:v>https://www.ycombinator.com/companies/pax-historia</x:v>
      </x:c>
      <x:c r="E17" s="65" t="str">
        <x:v>https://www.ycombinator.com/companies/pax-historia/jobs</x:v>
      </x:c>
      <x:c r="F17" s="65" t="str">
        <x:v>https://www.linkedin.com/company/pax-historia</x:v>
      </x:c>
      <x:c r="G17" s="111" t="n">
        <x:v>46233</x:v>
      </x:c>
      <x:c r="H17" s="65" t="str">
        <x:v>YC company data: Active, U.S.-based, Team Size 3, hiring. YC jobs page: 4 current listing(s).</x:v>
      </x:c>
    </x:row>
    <x:row r="18" ht="42" customHeight="1">
      <x:c r="A18" s="112" t="str">
        <x:v>Scout</x:v>
      </x:c>
      <x:c r="B18" s="105" t="str">
        <x:v>Web</x:v>
      </x:c>
      <x:c r="C18" s="65" t="str">
        <x:v>https://yc-oss.github.io/api/batches/winter-2024/cpgscout.json</x:v>
      </x:c>
      <x:c r="D18" s="65" t="str">
        <x:v>https://www.ycombinator.com/companies/cpgscout</x:v>
      </x:c>
      <x:c r="E18" s="65" t="str">
        <x:v>https://www.ycombinator.com/companies/cpgscout/jobs</x:v>
      </x:c>
      <x:c r="F18" s="65" t="str">
        <x:v>https://www.linkedin.com/company/99366646</x:v>
      </x:c>
      <x:c r="G18" s="111" t="n">
        <x:v>46233</x:v>
      </x:c>
      <x:c r="H18" s="65" t="str">
        <x:v>YC company data: Active, U.S.-based, Team Size 3, hiring. YC jobs page: 3 current listing(s).</x:v>
      </x:c>
    </x:row>
    <x:row r="19" ht="42" customHeight="1">
      <x:c r="A19" s="112" t="str">
        <x:v>VideoGen</x:v>
      </x:c>
      <x:c r="B19" s="105" t="str">
        <x:v>Web</x:v>
      </x:c>
      <x:c r="C19" s="65" t="str">
        <x:v>https://yc-oss.github.io/api/batches/summer-2024/videogen.json</x:v>
      </x:c>
      <x:c r="D19" s="65" t="str">
        <x:v>https://www.ycombinator.com/companies/videogen</x:v>
      </x:c>
      <x:c r="E19" s="65" t="str">
        <x:v>https://www.ycombinator.com/companies/videogen/jobs</x:v>
      </x:c>
      <x:c r="F19" s="65" t="str">
        <x:v>https://www.linkedin.com/company/videogen</x:v>
      </x:c>
      <x:c r="G19" s="111" t="n">
        <x:v>46233</x:v>
      </x:c>
      <x:c r="H19" s="65" t="str">
        <x:v>YC company data: Active, U.S.-based, Team Size 5, hiring. YC jobs page: 1 current listing(s).</x:v>
      </x:c>
    </x:row>
    <x:row r="20" ht="42" customHeight="1">
      <x:c r="A20" s="112" t="str">
        <x:v>Willow</x:v>
      </x:c>
      <x:c r="B20" s="105" t="str">
        <x:v>Web</x:v>
      </x:c>
      <x:c r="C20" s="65" t="str">
        <x:v>https://yc-oss.github.io/api/batches/spring-2025/willow.json</x:v>
      </x:c>
      <x:c r="D20" s="65" t="str">
        <x:v>https://www.ycombinator.com/companies/willow</x:v>
      </x:c>
      <x:c r="E20" s="65" t="str">
        <x:v>https://www.ycombinator.com/companies/willow/jobs</x:v>
      </x:c>
      <x:c r="F20" s="65" t="str">
        <x:v>https://www.linkedin.com/company/willowvoice/</x:v>
      </x:c>
      <x:c r="G20" s="111" t="n">
        <x:v>46233</x:v>
      </x:c>
      <x:c r="H20" s="65" t="str">
        <x:v>YC company data: Active, U.S.-based, Team Size 7, hiring. YC jobs page: 4 current listing(s).</x:v>
      </x:c>
    </x:row>
    <x:row r="21" ht="42" customHeight="1">
      <x:c r="A21" s="112" t="str">
        <x:v>Cardboard</x:v>
      </x:c>
      <x:c r="B21" s="105" t="str">
        <x:v>Web</x:v>
      </x:c>
      <x:c r="C21" s="65" t="str">
        <x:v>https://yc-oss.github.io/api/batches/winter-2026/cardboard.json</x:v>
      </x:c>
      <x:c r="D21" s="65" t="str">
        <x:v>https://www.ycombinator.com/companies/cardboard</x:v>
      </x:c>
      <x:c r="E21" s="65" t="str">
        <x:v>https://www.ycombinator.com/companies/cardboard/jobs</x:v>
      </x:c>
      <x:c r="F21" s="65" t="str">
        <x:v>https://www.linkedin.com/company/cardboardinc</x:v>
      </x:c>
      <x:c r="G21" s="111" t="n">
        <x:v>46233</x:v>
      </x:c>
      <x:c r="H21" s="65" t="str">
        <x:v>YC company data: Active, U.S.-based, Team Size 4, hiring. YC jobs page: 3 current listing(s).</x:v>
      </x:c>
    </x:row>
    <x:row r="22" ht="42" customHeight="1">
      <x:c r="A22" s="112" t="str">
        <x:v>Gojiberry AI</x:v>
      </x:c>
      <x:c r="B22" s="105" t="str">
        <x:v>Software</x:v>
      </x:c>
      <x:c r="C22" s="65" t="str">
        <x:v>https://yc-oss.github.io/api/batches/spring-2026/gojiberry-ai.json</x:v>
      </x:c>
      <x:c r="D22" s="65" t="str">
        <x:v>https://www.ycombinator.com/companies/gojiberry-ai</x:v>
      </x:c>
      <x:c r="E22" s="65" t="str">
        <x:v>https://www.ycombinator.com/companies/gojiberry-ai/jobs</x:v>
      </x:c>
      <x:c r="F22" s="65" t="str">
        <x:v>https://www.linkedin.com/in/pelall/</x:v>
      </x:c>
      <x:c r="G22" s="111" t="n">
        <x:v>46233</x:v>
      </x:c>
      <x:c r="H22" s="65" t="str">
        <x:v>YC company data: Active, U.S.-based, Team Size 7, hiring. YC jobs page: 2 current listing(s).</x:v>
      </x:c>
    </x:row>
    <x:row r="23" ht="42" customHeight="1">
      <x:c r="A23" s="112" t="str">
        <x:v>Lightsprint</x:v>
      </x:c>
      <x:c r="B23" s="105" t="str">
        <x:v>Software</x:v>
      </x:c>
      <x:c r="C23" s="65" t="str">
        <x:v>https://yc-oss.github.io/api/batches/spring-2026/lightsprint.json</x:v>
      </x:c>
      <x:c r="D23" s="65" t="str">
        <x:v>https://www.ycombinator.com/companies/lightsprint</x:v>
      </x:c>
      <x:c r="E23" s="65" t="str">
        <x:v>https://www.ycombinator.com/companies/lightsprint/jobs</x:v>
      </x:c>
      <x:c r="F23" s="65" t="str">
        <x:v>https://www.linkedin.com/company/lightsprint</x:v>
      </x:c>
      <x:c r="G23" s="111" t="n">
        <x:v>46233</x:v>
      </x:c>
      <x:c r="H23" s="65" t="str">
        <x:v>YC company data: Active, U.S.-based, Team Size 3, hiring. YC jobs page: 2 current listing(s).</x:v>
      </x:c>
    </x:row>
    <x:row r="24" ht="42" customHeight="1">
      <x:c r="A24" s="112" t="str">
        <x:v>Aspect</x:v>
      </x:c>
      <x:c r="B24" s="105" t="str">
        <x:v>Software</x:v>
      </x:c>
      <x:c r="C24" s="65" t="str">
        <x:v>https://yc-oss.github.io/api/batches/fall-2025/aspect-inc.json</x:v>
      </x:c>
      <x:c r="D24" s="65" t="str">
        <x:v>https://www.ycombinator.com/companies/aspect-inc</x:v>
      </x:c>
      <x:c r="E24" s="65" t="str">
        <x:v>https://www.ycombinator.com/companies/aspect-inc/jobs</x:v>
      </x:c>
      <x:c r="F24" s="65" t="str">
        <x:v>https://www.linkedin.com/company/aspectinc/</x:v>
      </x:c>
      <x:c r="G24" s="111" t="n">
        <x:v>46233</x:v>
      </x:c>
      <x:c r="H24" s="65" t="str">
        <x:v>YC company data: Active, U.S.-based, Team Size 3, hiring. YC jobs page: 2 current listing(s).</x:v>
      </x:c>
    </x:row>
    <x:row r="25" ht="42" customHeight="1">
      <x:c r="A25" s="112" t="str">
        <x:v>Dalus</x:v>
      </x:c>
      <x:c r="B25" s="105" t="str">
        <x:v>Software</x:v>
      </x:c>
      <x:c r="C25" s="65" t="str">
        <x:v>https://yc-oss.github.io/api/batches/winter-2025/dalus.json</x:v>
      </x:c>
      <x:c r="D25" s="65" t="str">
        <x:v>https://www.ycombinator.com/companies/dalus</x:v>
      </x:c>
      <x:c r="E25" s="65" t="str">
        <x:v>https://www.ycombinator.com/companies/dalus/jobs</x:v>
      </x:c>
      <x:c r="F25" s="65" t="str">
        <x:v>https://www.linkedin.com/company/dalus-tech/</x:v>
      </x:c>
      <x:c r="G25" s="111" t="n">
        <x:v>46233</x:v>
      </x:c>
      <x:c r="H25" s="65" t="str">
        <x:v>YC company data: Active, U.S.-based, Team Size 3, hiring. YC jobs page: 2 current listing(s).</x:v>
      </x:c>
    </x:row>
    <x:row r="26" ht="42" customHeight="1">
      <x:c r="A26" s="112" t="str">
        <x:v>Humwork</x:v>
      </x:c>
      <x:c r="B26" s="105" t="str">
        <x:v>Software</x:v>
      </x:c>
      <x:c r="C26" s="65" t="str">
        <x:v>https://yc-oss.github.io/api/batches/spring-2026/humwork.json</x:v>
      </x:c>
      <x:c r="D26" s="65" t="str">
        <x:v>https://www.ycombinator.com/companies/humwork</x:v>
      </x:c>
      <x:c r="E26" s="65" t="str">
        <x:v>https://www.ycombinator.com/companies/humwork/jobs</x:v>
      </x:c>
      <x:c r="F26" s="65" t="str">
        <x:v>https://www.linkedin.com/company/humwork</x:v>
      </x:c>
      <x:c r="G26" s="111" t="n">
        <x:v>46233</x:v>
      </x:c>
      <x:c r="H26" s="65" t="str">
        <x:v>YC company data: Active, U.S.-based, Team Size 2, hiring. YC jobs page: 2 current listing(s).</x:v>
      </x:c>
    </x:row>
    <x:row r="27" ht="42" customHeight="1">
      <x:c r="A27" s="112" t="str">
        <x:v>Minicor</x:v>
      </x:c>
      <x:c r="B27" s="105" t="str">
        <x:v>Software</x:v>
      </x:c>
      <x:c r="C27" s="65" t="str">
        <x:v>https://yc-oss.github.io/api/batches/spring-2026/minicor.json</x:v>
      </x:c>
      <x:c r="D27" s="65" t="str">
        <x:v>https://www.ycombinator.com/companies/minicor</x:v>
      </x:c>
      <x:c r="E27" s="65" t="str">
        <x:v>https://www.ycombinator.com/companies/minicor/jobs</x:v>
      </x:c>
      <x:c r="F27" s="65" t="str">
        <x:v>https://www.linkedin.com/company/minicor-automations</x:v>
      </x:c>
      <x:c r="G27" s="111" t="n">
        <x:v>46233</x:v>
      </x:c>
      <x:c r="H27" s="65" t="str">
        <x:v>YC company data: Active, U.S.-based, Team Size 7, hiring. YC jobs page: 1 current listing(s).</x:v>
      </x:c>
    </x:row>
    <x:row r="28" ht="42" customHeight="1">
      <x:c r="A28" s="112" t="str">
        <x:v>MochaCare</x:v>
      </x:c>
      <x:c r="B28" s="105" t="str">
        <x:v>Software</x:v>
      </x:c>
      <x:c r="C28" s="65" t="str">
        <x:v>https://yc-oss.github.io/api/batches/winter-2026/mochacare.json</x:v>
      </x:c>
      <x:c r="D28" s="65" t="str">
        <x:v>https://www.ycombinator.com/companies/mochacare</x:v>
      </x:c>
      <x:c r="E28" s="65" t="str">
        <x:v>https://www.ycombinator.com/companies/mochacare/jobs</x:v>
      </x:c>
      <x:c r="F28" s="65" t="str">
        <x:v>https://www.linkedin.com/company/mochacare</x:v>
      </x:c>
      <x:c r="G28" s="111" t="n">
        <x:v>46233</x:v>
      </x:c>
      <x:c r="H28" s="65" t="str">
        <x:v>YC company data: Active, U.S.-based, Team Size 2, hiring. YC jobs page: 1 current listing(s).</x:v>
      </x:c>
    </x:row>
    <x:row r="29" ht="42" customHeight="1">
      <x:c r="A29" s="112" t="str">
        <x:v>OpenWork</x:v>
      </x:c>
      <x:c r="B29" s="105" t="str">
        <x:v>Software</x:v>
      </x:c>
      <x:c r="C29" s="65" t="str">
        <x:v>https://yc-oss.github.io/api/batches/spring-2026/openwork.json</x:v>
      </x:c>
      <x:c r="D29" s="65" t="str">
        <x:v>https://www.ycombinator.com/companies/openwork</x:v>
      </x:c>
      <x:c r="E29" s="65" t="str">
        <x:v>https://www.ycombinator.com/companies/openwork/jobs</x:v>
      </x:c>
      <x:c r="F29" s="65" t="str">
        <x:v>https://www.linkedin.com/company/openwork-software</x:v>
      </x:c>
      <x:c r="G29" s="111" t="n">
        <x:v>46233</x:v>
      </x:c>
      <x:c r="H29" s="65" t="str">
        <x:v>YC company data: Active, U.S.-based, Team Size 4, hiring. YC jobs page: 2 current listing(s).</x:v>
      </x:c>
    </x:row>
    <x:row r="30" ht="42" customHeight="1">
      <x:c r="A30" s="112" t="str">
        <x:v>Paragon</x:v>
      </x:c>
      <x:c r="B30" s="105" t="str">
        <x:v>Software</x:v>
      </x:c>
      <x:c r="C30" s="65" t="str">
        <x:v>https://yc-oss.github.io/api/batches/winter-2025/deployparagon.json</x:v>
      </x:c>
      <x:c r="D30" s="65" t="str">
        <x:v>https://www.ycombinator.com/companies/deployparagon</x:v>
      </x:c>
      <x:c r="E30" s="65" t="str">
        <x:v>https://www.ycombinator.com/companies/deployparagon/jobs</x:v>
      </x:c>
      <x:c r="F30" s="65" t="str">
        <x:v>https://www.linkedin.com/company/deployparagon/</x:v>
      </x:c>
      <x:c r="G30" s="111" t="n">
        <x:v>46233</x:v>
      </x:c>
      <x:c r="H30" s="65" t="str">
        <x:v>YC company data: Active, U.S.-based, Team Size 2, hiring. YC jobs page: 2 current listing(s).</x:v>
      </x:c>
    </x:row>
    <x:row r="31" ht="42" customHeight="1">
      <x:c r="A31" s="112" t="str">
        <x:v>Socratix AI</x:v>
      </x:c>
      <x:c r="B31" s="105" t="str">
        <x:v>Software</x:v>
      </x:c>
      <x:c r="C31" s="65" t="str">
        <x:v>https://yc-oss.github.io/api/batches/summer-2025/socratix-ai.json</x:v>
      </x:c>
      <x:c r="D31" s="65" t="str">
        <x:v>https://www.ycombinator.com/companies/socratix-ai</x:v>
      </x:c>
      <x:c r="E31" s="65" t="str">
        <x:v>https://www.ycombinator.com/companies/socratix-ai/jobs</x:v>
      </x:c>
      <x:c r="F31" s="65" t="str">
        <x:v>https://www.linkedin.com/company/socratix-ai/</x:v>
      </x:c>
      <x:c r="G31" s="111" t="n">
        <x:v>46233</x:v>
      </x:c>
      <x:c r="H31" s="65" t="str">
        <x:v>YC company data: Active, U.S.-based, Team Size 4, hiring. YC jobs page: 2 current listing(s).</x:v>
      </x:c>
    </x:row>
    <x:row r="32" ht="42" customHeight="1">
      <x:c r="A32" s="112" t="str">
        <x:v>Sparkles</x:v>
      </x:c>
      <x:c r="B32" s="105" t="str">
        <x:v>Software</x:v>
      </x:c>
      <x:c r="C32" s="65" t="str">
        <x:v>https://yc-oss.github.io/api/batches/winter-2026/sparkles.json</x:v>
      </x:c>
      <x:c r="D32" s="65" t="str">
        <x:v>https://www.ycombinator.com/companies/sparkles</x:v>
      </x:c>
      <x:c r="E32" s="65" t="str">
        <x:v>https://www.ycombinator.com/companies/sparkles/jobs</x:v>
      </x:c>
      <x:c r="F32" s="65" t="str">
        <x:v>https://www.linkedin.com/company/sparkles-dev</x:v>
      </x:c>
      <x:c r="G32" s="111" t="n">
        <x:v>46233</x:v>
      </x:c>
      <x:c r="H32" s="65" t="str">
        <x:v>YC company data: Active, U.S.-based, Team Size 1, hiring. YC jobs page: 1 current listing(s).</x:v>
      </x:c>
    </x:row>
    <x:row r="33" ht="42" customHeight="1">
      <x:c r="A33" s="112" t="str">
        <x:v>Tasklet</x:v>
      </x:c>
      <x:c r="B33" s="105" t="str">
        <x:v>Software</x:v>
      </x:c>
      <x:c r="C33" s="65" t="str">
        <x:v>https://yc-oss.github.io/api/batches/spring-2026/tasklet-2.json</x:v>
      </x:c>
      <x:c r="D33" s="65" t="str">
        <x:v>https://www.ycombinator.com/companies/tasklet-2</x:v>
      </x:c>
      <x:c r="E33" s="65" t="str">
        <x:v>https://www.ycombinator.com/companies/tasklet-2/jobs</x:v>
      </x:c>
      <x:c r="F33" s="65" t="str">
        <x:v>https://www.linkedin.com/company/taskletai/</x:v>
      </x:c>
      <x:c r="G33" s="111" t="n">
        <x:v>46233</x:v>
      </x:c>
      <x:c r="H33" s="65" t="str">
        <x:v>YC company data: Active, U.S.-based, Team Size 8, hiring. YC jobs page: 6 current listing(s).</x:v>
      </x:c>
    </x:row>
    <x:row r="34" ht="42" customHeight="1">
      <x:c r="A34" s="112" t="str">
        <x:v>Aurorin CAD</x:v>
      </x:c>
      <x:c r="B34" s="105" t="str">
        <x:v>Software</x:v>
      </x:c>
      <x:c r="C34" s="65" t="str">
        <x:v>https://yc-oss.github.io/api/batches/winter-2026/aurorin-cad.json</x:v>
      </x:c>
      <x:c r="D34" s="65" t="str">
        <x:v>https://www.ycombinator.com/companies/aurorin-cad</x:v>
      </x:c>
      <x:c r="E34" s="65" t="str">
        <x:v>https://www.ycombinator.com/companies/aurorin-cad/jobs</x:v>
      </x:c>
      <x:c r="F34" s="65" t="str">
        <x:v>https://www.linkedin.com/company/aurorin-cad/</x:v>
      </x:c>
      <x:c r="G34" s="111" t="n">
        <x:v>46233</x:v>
      </x:c>
      <x:c r="H34" s="65" t="str">
        <x:v>YC company data: Active, U.S.-based, Team Size 1, hiring. YC jobs page: 1 current listing(s).</x:v>
      </x:c>
    </x:row>
    <x:row r="35" ht="42" customHeight="1">
      <x:c r="A35" s="112" t="str">
        <x:v>Cumulus Labs</x:v>
      </x:c>
      <x:c r="B35" s="105" t="str">
        <x:v>Software</x:v>
      </x:c>
      <x:c r="C35" s="65" t="str">
        <x:v>https://yc-oss.github.io/api/batches/winter-2026/cumulus-labs.json</x:v>
      </x:c>
      <x:c r="D35" s="65" t="str">
        <x:v>https://www.ycombinator.com/companies/cumulus-labs</x:v>
      </x:c>
      <x:c r="E35" s="65" t="str">
        <x:v>https://www.ycombinator.com/companies/cumulus-labs/jobs</x:v>
      </x:c>
      <x:c r="F35" s="65" t="str">
        <x:v>https://www.linkedin.com/company/cumuluscomputelabs/</x:v>
      </x:c>
      <x:c r="G35" s="111" t="n">
        <x:v>46233</x:v>
      </x:c>
      <x:c r="H35" s="65" t="str">
        <x:v>YC company data: Active, U.S.-based, Team Size 2, hiring. YC jobs page: 1 current listing(s).</x:v>
      </x:c>
    </x:row>
    <x:row r="36" ht="42" customHeight="1">
      <x:c r="A36" s="112" t="str">
        <x:v>PerfectBit, Inc.</x:v>
      </x:c>
      <x:c r="B36" s="105" t="str">
        <x:v>Software</x:v>
      </x:c>
      <x:c r="C36" s="65" t="str">
        <x:v>https://yc-oss.github.io/api/batches/spring-2026/perfectbit-inc.json</x:v>
      </x:c>
      <x:c r="D36" s="65" t="str">
        <x:v>https://www.ycombinator.com/companies/perfectbit-inc</x:v>
      </x:c>
      <x:c r="E36" s="65" t="str">
        <x:v>https://www.ycombinator.com/companies/perfectbit-inc/jobs</x:v>
      </x:c>
      <x:c r="F36" s="65" t="str">
        <x:v>https://www.linkedin.com/company/perfectbit</x:v>
      </x:c>
      <x:c r="G36" s="111" t="n">
        <x:v>46233</x:v>
      </x:c>
      <x:c r="H36" s="65" t="str">
        <x:v>YC company data: Active, U.S.-based, Team Size 2, hiring. YC jobs page: 1 current listing(s).</x:v>
      </x:c>
    </x:row>
    <x:row r="37" ht="42" customHeight="1">
      <x:c r="A37" s="112" t="str">
        <x:v>Prototyping.io</x:v>
      </x:c>
      <x:c r="B37" s="105" t="str">
        <x:v>Software</x:v>
      </x:c>
      <x:c r="C37" s="65" t="str">
        <x:v>https://yc-oss.github.io/api/batches/spring-2026/prototypingio.json</x:v>
      </x:c>
      <x:c r="D37" s="65" t="str">
        <x:v>https://www.ycombinator.com/companies/prototypingio</x:v>
      </x:c>
      <x:c r="E37" s="65" t="str">
        <x:v>https://www.ycombinator.com/companies/prototypingio/jobs</x:v>
      </x:c>
      <x:c r="F37" s="65" t="str">
        <x:v>https://www.linkedin.com/company/prototyping-io</x:v>
      </x:c>
      <x:c r="G37" s="111" t="n">
        <x:v>46233</x:v>
      </x:c>
      <x:c r="H37" s="65" t="str">
        <x:v>YC company data: Active, U.S.-based, Team Size 2, hiring. YC jobs page: 2 current listing(s).</x:v>
      </x:c>
    </x:row>
    <x:row r="38" ht="42" customHeight="1">
      <x:c r="A38" s="112" t="str">
        <x:v>Rhizome AI</x:v>
      </x:c>
      <x:c r="B38" s="105" t="str">
        <x:v>Software</x:v>
      </x:c>
      <x:c r="C38" s="65" t="str">
        <x:v>https://yc-oss.github.io/api/batches/winter-2026/rhizome-ai.json</x:v>
      </x:c>
      <x:c r="D38" s="65" t="str">
        <x:v>https://www.ycombinator.com/companies/rhizome-ai</x:v>
      </x:c>
      <x:c r="E38" s="65" t="str">
        <x:v>https://www.ycombinator.com/companies/rhizome-ai/jobs</x:v>
      </x:c>
      <x:c r="F38" s="65" t="str">
        <x:v>https://www.linkedin.com/company/rhizomeai/</x:v>
      </x:c>
      <x:c r="G38" s="111" t="n">
        <x:v>46233</x:v>
      </x:c>
      <x:c r="H38" s="65" t="str">
        <x:v>YC company data: Active, U.S.-based, Team Size 1, hiring. YC jobs page: 1 current listing(s).</x:v>
      </x:c>
    </x:row>
    <x:row r="39" ht="42" customHeight="1">
      <x:c r="A39" s="112" t="str">
        <x:v>a0.dev</x:v>
      </x:c>
      <x:c r="B39" s="105" t="str">
        <x:v>AI</x:v>
      </x:c>
      <x:c r="C39" s="65" t="str">
        <x:v>https://yc-oss.github.io/api/batches/winter-2025/a0-dev.json</x:v>
      </x:c>
      <x:c r="D39" s="65" t="str">
        <x:v>https://www.ycombinator.com/companies/a0-dev</x:v>
      </x:c>
      <x:c r="E39" s="65" t="str">
        <x:v>https://www.ycombinator.com/companies/a0-dev/jobs</x:v>
      </x:c>
      <x:c r="F39" s="65" t="str">
        <x:v>https://www.linkedin.com/company/a0-dev</x:v>
      </x:c>
      <x:c r="G39" s="111" t="n">
        <x:v>46233</x:v>
      </x:c>
      <x:c r="H39" s="65" t="str">
        <x:v>YC company data: Active, U.S.-based, Team Size 3, hiring. YC jobs page: 2 current listing(s).</x:v>
      </x:c>
    </x:row>
    <x:row r="40" ht="42" customHeight="1">
      <x:c r="A40" s="112" t="str">
        <x:v>Abundant</x:v>
      </x:c>
      <x:c r="B40" s="105" t="str">
        <x:v>AI</x:v>
      </x:c>
      <x:c r="C40" s="65" t="str">
        <x:v>https://yc-oss.github.io/api/batches/fall-2024/abundant.json</x:v>
      </x:c>
      <x:c r="D40" s="65" t="str">
        <x:v>https://www.ycombinator.com/companies/abundant</x:v>
      </x:c>
      <x:c r="E40" s="65" t="str">
        <x:v>https://www.ycombinator.com/companies/abundant/jobs</x:v>
      </x:c>
      <x:c r="F40" s="65" t="str">
        <x:v>https://www.linkedin.com/company/abundant-ai/</x:v>
      </x:c>
      <x:c r="G40" s="111" t="n">
        <x:v>46233</x:v>
      </x:c>
      <x:c r="H40" s="65" t="str">
        <x:v>YC company data: Active, U.S.-based, Team Size 7, hiring. YC jobs page: 3 current listing(s).</x:v>
      </x:c>
    </x:row>
    <x:row r="41" ht="42" customHeight="1">
      <x:c r="A41" s="112" t="str">
        <x:v>COACH</x:v>
      </x:c>
      <x:c r="B41" s="105" t="str">
        <x:v>AI</x:v>
      </x:c>
      <x:c r="C41" s="65" t="str">
        <x:v>https://yc-oss.github.io/api/batches/summer-2026/ai-coach.json</x:v>
      </x:c>
      <x:c r="D41" s="65" t="str">
        <x:v>https://www.ycombinator.com/companies/ai-coach</x:v>
      </x:c>
      <x:c r="E41" s="65" t="str">
        <x:v>https://www.ycombinator.com/companies/ai-coach/jobs</x:v>
      </x:c>
      <x:c r="F41" s="65" t="str">
        <x:v>https://www.linkedin.com/company/my-aicoach/</x:v>
      </x:c>
      <x:c r="G41" s="111" t="n">
        <x:v>46233</x:v>
      </x:c>
      <x:c r="H41" s="65" t="str">
        <x:v>YC company data: Active, U.S.-based, Team Size 4, hiring. YC jobs page: 1 current listing(s).</x:v>
      </x:c>
    </x:row>
    <x:row r="42" ht="42" customHeight="1">
      <x:c r="A42" s="112" t="str">
        <x:v>Confident AI</x:v>
      </x:c>
      <x:c r="B42" s="105" t="str">
        <x:v>AI</x:v>
      </x:c>
      <x:c r="C42" s="65" t="str">
        <x:v>https://yc-oss.github.io/api/batches/winter-2025/confident-ai.json</x:v>
      </x:c>
      <x:c r="D42" s="65" t="str">
        <x:v>https://www.ycombinator.com/companies/confident-ai</x:v>
      </x:c>
      <x:c r="E42" s="65" t="str">
        <x:v>https://www.ycombinator.com/companies/confident-ai/jobs</x:v>
      </x:c>
      <x:c r="F42" s="65" t="str">
        <x:v>https://www.linkedin.com/company/confident-ai</x:v>
      </x:c>
      <x:c r="G42" s="111" t="n">
        <x:v>46233</x:v>
      </x:c>
      <x:c r="H42" s="65" t="str">
        <x:v>YC company data: Active, U.S.-based, Team Size 7, hiring. YC jobs page: 4 current listing(s).</x:v>
      </x:c>
    </x:row>
    <x:row r="43" ht="42" customHeight="1">
      <x:c r="A43" s="112" t="str">
        <x:v>Dench.com</x:v>
      </x:c>
      <x:c r="B43" s="105" t="str">
        <x:v>AI</x:v>
      </x:c>
      <x:c r="C43" s="65" t="str">
        <x:v>https://yc-oss.github.io/api/batches/summer-2024/dench-com.json</x:v>
      </x:c>
      <x:c r="D43" s="65" t="str">
        <x:v>https://www.ycombinator.com/companies/dench-com</x:v>
      </x:c>
      <x:c r="E43" s="65" t="str">
        <x:v>https://www.ycombinator.com/companies/dench-com/jobs</x:v>
      </x:c>
      <x:c r="F43" s="65" t="str">
        <x:v>https://www.linkedin.com/company/denchcom</x:v>
      </x:c>
      <x:c r="G43" s="111" t="n">
        <x:v>46233</x:v>
      </x:c>
      <x:c r="H43" s="65" t="str">
        <x:v>YC company data: Active, U.S.-based, Team Size 6, hiring. YC jobs page: 2 current listing(s).</x:v>
      </x:c>
    </x:row>
    <x:row r="44" ht="42" customHeight="1">
      <x:c r="A44" s="112" t="str">
        <x:v>Educato</x:v>
      </x:c>
      <x:c r="B44" s="105" t="str">
        <x:v>AI</x:v>
      </x:c>
      <x:c r="C44" s="65" t="str">
        <x:v>https://yc-oss.github.io/api/batches/summer-2024/educato.json</x:v>
      </x:c>
      <x:c r="D44" s="65" t="str">
        <x:v>https://www.ycombinator.com/companies/educato</x:v>
      </x:c>
      <x:c r="E44" s="65" t="str">
        <x:v>https://www.ycombinator.com/companies/educato/jobs</x:v>
      </x:c>
      <x:c r="F44" s="65" t="str">
        <x:v>https://www.linkedin.com/company/educato-ai/</x:v>
      </x:c>
      <x:c r="G44" s="111" t="n">
        <x:v>46233</x:v>
      </x:c>
      <x:c r="H44" s="65" t="str">
        <x:v>YC company data: Active, U.S.-based, Team Size 5, hiring. YC jobs page: 2 current listing(s).</x:v>
      </x:c>
    </x:row>
    <x:row r="45" ht="42" customHeight="1">
      <x:c r="A45" s="112" t="str">
        <x:v>Freebuff</x:v>
      </x:c>
      <x:c r="B45" s="105" t="str">
        <x:v>AI</x:v>
      </x:c>
      <x:c r="C45" s="65" t="str">
        <x:v>https://yc-oss.github.io/api/batches/fall-2024/freebuff.json</x:v>
      </x:c>
      <x:c r="D45" s="65" t="str">
        <x:v>https://www.ycombinator.com/companies/freebuff</x:v>
      </x:c>
      <x:c r="E45" s="65" t="str">
        <x:v>https://www.ycombinator.com/companies/freebuff/jobs</x:v>
      </x:c>
      <x:c r="F45" s="65" t="str">
        <x:v>https://www.linkedin.com/company/codebuff</x:v>
      </x:c>
      <x:c r="G45" s="111" t="n">
        <x:v>46233</x:v>
      </x:c>
      <x:c r="H45" s="65" t="str">
        <x:v>YC company data: Active, U.S.-based, Team Size 2, hiring. YC jobs page: 1 current listing(s).</x:v>
      </x:c>
    </x:row>
    <x:row r="46" ht="42" customHeight="1">
      <x:c r="A46" s="112" t="str">
        <x:v>Manufact</x:v>
      </x:c>
      <x:c r="B46" s="105" t="str">
        <x:v>AI</x:v>
      </x:c>
      <x:c r="C46" s="65" t="str">
        <x:v>https://yc-oss.github.io/api/batches/summer-2025/manufact.json</x:v>
      </x:c>
      <x:c r="D46" s="65" t="str">
        <x:v>https://www.ycombinator.com/companies/manufact</x:v>
      </x:c>
      <x:c r="E46" s="65" t="str">
        <x:v>https://www.ycombinator.com/companies/manufact/jobs</x:v>
      </x:c>
      <x:c r="F46" s="65" t="str">
        <x:v>https://www.linkedin.com/company/mcp-use/</x:v>
      </x:c>
      <x:c r="G46" s="111" t="n">
        <x:v>46233</x:v>
      </x:c>
      <x:c r="H46" s="65" t="str">
        <x:v>YC company data: Active, U.S.-based, Team Size 5, hiring. YC jobs page: 3 current listing(s).</x:v>
      </x:c>
    </x:row>
    <x:row r="47" ht="42" customHeight="1">
      <x:c r="A47" s="112" t="str">
        <x:v>Bond</x:v>
      </x:c>
      <x:c r="B47" s="105" t="str">
        <x:v>AI</x:v>
      </x:c>
      <x:c r="C47" s="65" t="str">
        <x:v>https://yc-oss.github.io/api/batches/spring-2025/bond.json</x:v>
      </x:c>
      <x:c r="D47" s="65" t="str">
        <x:v>https://www.ycombinator.com/companies/bond</x:v>
      </x:c>
      <x:c r="E47" s="65" t="str">
        <x:v>https://www.ycombinator.com/companies/bond/jobs</x:v>
      </x:c>
      <x:c r="F47" s="65" t="str">
        <x:v>https://www.linkedin.com/company/thebondapp</x:v>
      </x:c>
      <x:c r="G47" s="111" t="n">
        <x:v>46233</x:v>
      </x:c>
      <x:c r="H47" s="65" t="str">
        <x:v>YC company data: Active, U.S.-based, Team Size 3, hiring. YC jobs page: 1 current listing(s).</x:v>
      </x:c>
    </x:row>
    <x:row r="48" ht="42" customHeight="1">
      <x:c r="A48" s="112" t="str">
        <x:v>Clicks</x:v>
      </x:c>
      <x:c r="B48" s="105" t="str">
        <x:v>AI</x:v>
      </x:c>
      <x:c r="C48" s="65" t="str">
        <x:v>https://yc-oss.github.io/api/batches/fall-2025/clicks.json</x:v>
      </x:c>
      <x:c r="D48" s="65" t="str">
        <x:v>https://www.ycombinator.com/companies/clicks</x:v>
      </x:c>
      <x:c r="E48" s="65" t="str">
        <x:v>https://www.ycombinator.com/companies/clicks/jobs</x:v>
      </x:c>
      <x:c r="F48" s="65" t="str">
        <x:v>https://www.linkedin.com/company/109159942</x:v>
      </x:c>
      <x:c r="G48" s="111" t="n">
        <x:v>46233</x:v>
      </x:c>
      <x:c r="H48" s="65" t="str">
        <x:v>YC company data: Active, U.S.-based, Team Size 8, hiring. YC jobs page: 3 current listing(s).</x:v>
      </x:c>
    </x:row>
    <x:row r="49" ht="42" customHeight="1">
      <x:c r="A49" s="112" t="str">
        <x:v>Interfere</x:v>
      </x:c>
      <x:c r="B49" s="105" t="str">
        <x:v>AI</x:v>
      </x:c>
      <x:c r="C49" s="65" t="str">
        <x:v>https://yc-oss.github.io/api/batches/summer-2025/interfere.json</x:v>
      </x:c>
      <x:c r="D49" s="65" t="str">
        <x:v>https://www.ycombinator.com/companies/interfere</x:v>
      </x:c>
      <x:c r="E49" s="65" t="str">
        <x:v>https://www.ycombinator.com/companies/interfere/jobs</x:v>
      </x:c>
      <x:c r="F49" s="65" t="str">
        <x:v>http://linkedin.com/company/interfere-inc</x:v>
      </x:c>
      <x:c r="G49" s="111" t="n">
        <x:v>46233</x:v>
      </x:c>
      <x:c r="H49" s="65" t="str">
        <x:v>YC company data: Active, U.S.-based, Team Size 8, hiring. YC jobs page: 6 current listing(s).</x:v>
      </x:c>
    </x:row>
    <x:row r="50" ht="42" customHeight="1">
      <x:c r="A50" s="112" t="str">
        <x:v>MorphoAI</x:v>
      </x:c>
      <x:c r="B50" s="105" t="str">
        <x:v>AI</x:v>
      </x:c>
      <x:c r="C50" s="65" t="str">
        <x:v>https://yc-oss.github.io/api/batches/spring-2025/morphoai.json</x:v>
      </x:c>
      <x:c r="D50" s="65" t="str">
        <x:v>https://www.ycombinator.com/companies/morphoai</x:v>
      </x:c>
      <x:c r="E50" s="65" t="str">
        <x:v>https://www.ycombinator.com/companies/morphoai/jobs</x:v>
      </x:c>
      <x:c r="F50" s="65" t="str">
        <x:v>https://www.linkedin.com/company/morphoai/?viewAsMember=true</x:v>
      </x:c>
      <x:c r="G50" s="111" t="n">
        <x:v>46233</x:v>
      </x:c>
      <x:c r="H50" s="65" t="str">
        <x:v>YC company data: Active, U.S.-based, Team Size 7, hiring. YC jobs page: 2 current listing(s).</x:v>
      </x:c>
    </x:row>
    <x:row r="51" ht="42" customHeight="1">
      <x:c r="A51" s="112" t="str">
        <x:v>Moss</x:v>
      </x:c>
      <x:c r="B51" s="105" t="str">
        <x:v>AI</x:v>
      </x:c>
      <x:c r="C51" s="65" t="str">
        <x:v>https://yc-oss.github.io/api/batches/fall-2025/moss.json</x:v>
      </x:c>
      <x:c r="D51" s="65" t="str">
        <x:v>https://www.ycombinator.com/companies/moss</x:v>
      </x:c>
      <x:c r="E51" s="65" t="str">
        <x:v>https://www.ycombinator.com/companies/moss/jobs</x:v>
      </x:c>
      <x:c r="F51" s="65" t="str">
        <x:v>https://www.linkedin.com/company/mossdev</x:v>
      </x:c>
      <x:c r="G51" s="111" t="n">
        <x:v>46233</x:v>
      </x:c>
      <x:c r="H51" s="65" t="str">
        <x:v>YC company data: Active, U.S.-based, Team Size 5, hiring. YC jobs page: 2 current listing(s).</x:v>
      </x:c>
    </x:row>
    <x:row r="52" ht="42" customHeight="1">
      <x:c r="A52" s="112" t="str">
        <x:v>MSPilot</x:v>
      </x:c>
      <x:c r="B52" s="105" t="str">
        <x:v>AI</x:v>
      </x:c>
      <x:c r="C52" s="65" t="str">
        <x:v>https://yc-oss.github.io/api/batches/fall-2025/mspilot.json</x:v>
      </x:c>
      <x:c r="D52" s="65" t="str">
        <x:v>https://www.ycombinator.com/companies/mspilot</x:v>
      </x:c>
      <x:c r="E52" s="65" t="str">
        <x:v>https://www.ycombinator.com/companies/mspilot/jobs</x:v>
      </x:c>
      <x:c r="F52" s="65" t="str">
        <x:v>https://www.linkedin.com/company/mspilot</x:v>
      </x:c>
      <x:c r="G52" s="111" t="n">
        <x:v>46233</x:v>
      </x:c>
      <x:c r="H52" s="65" t="str">
        <x:v>YC company data: Active, U.S.-based, Team Size 3, hiring. YC jobs page: 2 current listing(s).</x:v>
      </x:c>
    </x:row>
    <x:row r="53" ht="42" customHeight="1">
      <x:c r="A53" s="112" t="str">
        <x:v>RamAIn</x:v>
      </x:c>
      <x:c r="B53" s="105" t="str">
        <x:v>AI</x:v>
      </x:c>
      <x:c r="C53" s="65" t="str">
        <x:v>https://yc-oss.github.io/api/batches/winter-2026/ramain.json</x:v>
      </x:c>
      <x:c r="D53" s="65" t="str">
        <x:v>https://www.ycombinator.com/companies/ramain</x:v>
      </x:c>
      <x:c r="E53" s="65" t="str">
        <x:v>https://www.ycombinator.com/companies/ramain/jobs</x:v>
      </x:c>
      <x:c r="F53" s="65" t="str">
        <x:v>https://www.linkedin.com/company/ramain</x:v>
      </x:c>
      <x:c r="G53" s="111" t="n">
        <x:v>46233</x:v>
      </x:c>
      <x:c r="H53" s="65" t="str">
        <x:v>YC company data: Active, U.S.-based, Team Size 4, hiring. YC jobs page: 2 current listing(s).</x:v>
      </x:c>
    </x:row>
    <x:row r="54" ht="42" customHeight="1">
      <x:c r="A54" s="112" t="str">
        <x:v>Tesora</x:v>
      </x:c>
      <x:c r="B54" s="105" t="str">
        <x:v>AI</x:v>
      </x:c>
      <x:c r="C54" s="65" t="str">
        <x:v>https://yc-oss.github.io/api/batches/summer-2025/tesora.json</x:v>
      </x:c>
      <x:c r="D54" s="65" t="str">
        <x:v>https://www.ycombinator.com/companies/tesora</x:v>
      </x:c>
      <x:c r="E54" s="65" t="str">
        <x:v>https://www.ycombinator.com/companies/tesora/jobs</x:v>
      </x:c>
      <x:c r="F54" s="65" t="str">
        <x:v>https://www.linkedin.com/company/tesora-ai</x:v>
      </x:c>
      <x:c r="G54" s="111" t="n">
        <x:v>46233</x:v>
      </x:c>
      <x:c r="H54" s="65" t="str">
        <x:v>YC company data: Active, U.S.-based, Team Size 4, hiring. YC jobs page: 2 current listing(s).</x:v>
      </x:c>
    </x:row>
    <x:row r="55" ht="42" customHeight="1">
      <x:c r="A55" s="112" t="str">
        <x:v>Unsiloed AI</x:v>
      </x:c>
      <x:c r="B55" s="105" t="str">
        <x:v>AI</x:v>
      </x:c>
      <x:c r="C55" s="65" t="str">
        <x:v>https://yc-oss.github.io/api/batches/fall-2025/unsiloed-ai.json</x:v>
      </x:c>
      <x:c r="D55" s="65" t="str">
        <x:v>https://www.ycombinator.com/companies/unsiloed-ai</x:v>
      </x:c>
      <x:c r="E55" s="65" t="str">
        <x:v>https://www.ycombinator.com/companies/unsiloed-ai/jobs</x:v>
      </x:c>
      <x:c r="F55" s="65" t="str">
        <x:v>https://www.linkedin.com/company/unsiloed-ai</x:v>
      </x:c>
      <x:c r="G55" s="111" t="n">
        <x:v>46233</x:v>
      </x:c>
      <x:c r="H55" s="65" t="str">
        <x:v>YC company data: Active, U.S.-based, Team Size 2, hiring. YC jobs page: 3 current listing(s).</x:v>
      </x:c>
    </x:row>
  </x:sheetData>
  <x:mergeCells>
    <x:mergeCell ref="A1:H1"/>
    <x:mergeCell ref="A2:H2"/>
  </x:mergeCells>
  <x:pageMargins left="0.7" right="0.7" top="0.75" bottom="0.75" header="0.3" footer="0.3"/>
  <x:tableParts count="1">
    <x:tablePart xmlns:r="http://schemas.openxmlformats.org/officeDocument/2006/relationships" r:id="Ree1f56647a82447c"/>
  </x:tableParts>
</x:worksheet>
</file>