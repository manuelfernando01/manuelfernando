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bc76c3c64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up List" sheetId="1" r:id="Ra0928a97812644ab"/>
    <x:sheet xmlns:r="http://schemas.openxmlformats.org/officeDocument/2006/relationships" name="Sources &amp; Notes" sheetId="2" r:id="Rf048703ecea14c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yyyy-mm-dd"/>
  </x:numFmts>
  <x:fonts count="11">
    <x:font>
      <x:sz val="11"/>
      <x:name val="Carlito"/>
    </x:font>
    <x:font>
      <x:b/>
      <x:sz val="20"/>
      <x:color rgb="FFFFFFFF"/>
      <x:name val="Carlito"/>
    </x:font>
    <x:font>
      <x:i/>
      <x:sz val="10"/>
      <x:color rgb="FF304B5F"/>
      <x:name val="Carlito"/>
    </x:font>
    <x:font>
      <x:sz val="11"/>
      <x:color rgb="FF173F5F"/>
      <x:name val="Carlito"/>
    </x:font>
    <x:font>
      <x:b/>
      <x:sz val="9"/>
      <x:color rgb="FF5D7485"/>
      <x:name val="Carlito"/>
    </x:font>
    <x:font>
      <x:b/>
      <x:sz val="18"/>
      <x:color rgb="FF173F5F"/>
      <x:name val="Carlito"/>
    </x:font>
    <x:font>
      <x:b/>
      <x:sz val="18"/>
      <x:color rgb="FF17824B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sz val="10"/>
      <x:color rgb="FF415A6B"/>
      <x:name val="Carlito"/>
    </x:font>
    <x:font>
      <x:b/>
      <x:sz val="18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EAF2F8"/>
      </x:patternFill>
    </x:fill>
    <x:fill>
      <x:patternFill patternType="solid">
        <x:fgColor rgb="FFF7FAFC"/>
      </x:patternFill>
    </x:fill>
    <x:fill>
      <x:patternFill patternType="solid">
        <x:fgColor rgb="FF20639B"/>
      </x:patternFill>
    </x:fill>
    <x:fill>
      <x:patternFill patternType="solid">
        <x:fgColor rgb="FFDCE8F1"/>
      </x:patternFill>
    </x:fill>
  </x:fills>
  <x:borders count="15">
    <x:border/>
    <x:border>
      <x:left style="thin">
        <x:color rgb="FFB8C9D6"/>
      </x:left>
      <x:top style="thin">
        <x:color rgb="FFB8C9D6"/>
      </x:top>
    </x:border>
    <x:border>
      <x:right style="thin">
        <x:color rgb="FFB8C9D6"/>
      </x:right>
      <x:top style="thin">
        <x:color rgb="FFB8C9D6"/>
      </x:top>
    </x:border>
    <x:border>
      <x:left style="thin">
        <x:color rgb="FFB8C9D6"/>
      </x:left>
      <x:bottom style="thin">
        <x:color rgb="FFB8C9D6"/>
      </x:bottom>
    </x:border>
    <x:border>
      <x:right style="thin">
        <x:color rgb="FFB8C9D6"/>
      </x:right>
      <x:bottom style="thin">
        <x:color rgb="FFB8C9D6"/>
      </x:bottom>
    </x:border>
    <x:border>
      <x:right style="thin">
        <x:color rgb="FF6FA3C8"/>
      </x:right>
    </x:border>
    <x:border>
      <x:left style="thin">
        <x:color rgb="FF6FA3C8"/>
      </x:left>
      <x:right style="thin">
        <x:color rgb="FF6FA3C8"/>
      </x:right>
    </x:border>
    <x:border>
      <x:left style="thin">
        <x:color rgb="FF6FA3C8"/>
      </x:left>
    </x:border>
    <x:border>
      <x:right style="thin">
        <x:color rgb="FFB8C9D6"/>
      </x:right>
    </x:border>
    <x:border>
      <x:left style="thin">
        <x:color rgb="FFB8C9D6"/>
      </x:left>
    </x:border>
    <x:border>
      <x:bottom style="thin">
        <x:color rgb="FFD7E1E8"/>
      </x:bottom>
    </x:border>
    <x:border>
      <x:top style="thin">
        <x:color rgb="FFD7E1E8"/>
      </x:top>
      <x:bottom style="thin">
        <x:color rgb="FFD7E1E8"/>
      </x:bottom>
    </x:border>
    <x:border>
      <x:top style="thin">
        <x:color rgb="FFD7E1E8"/>
      </x:top>
      <x:bottom style="thin">
        <x:color rgb="FFB8C9D6"/>
      </x:bottom>
    </x:border>
    <x:border>
      <x:top style="thin">
        <x:color rgb="FFB8C9D6"/>
      </x:top>
    </x:border>
    <x:border>
      <x:bottom style="thin">
        <x:color rgb="FFB8C9D6"/>
      </x:bottom>
    </x:border>
  </x:borders>
  <x:cellStyleXfs count="1">
    <x:xf numFmtId="0" fontId="0" fillId="0" borderId="0"/>
  </x:cellStyleXfs>
  <x:cellXfs count="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3" fillId="4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200" fontId="5" fillId="4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5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horizontal="center" wrapText="1"/>
    </x:xf>
    <x:xf numFmtId="0" fontId="7" fillId="5" borderId="6" xfId="0" applyNumberFormat="1" applyFont="1" applyFill="1" applyBorder="1" applyAlignment="1">
      <x:alignment horizontal="center" wrapText="1"/>
    </x:xf>
    <x:xf numFmtId="0" fontId="7" fillId="5" borderId="7" xfId="0" applyNumberFormat="1" applyFont="1" applyFill="1" applyBorder="1" applyAlignment="1">
      <x:alignment horizontal="center" wrapText="1"/>
    </x:xf>
    <x:xf numFmtId="0" fontId="7" fillId="5" borderId="5" xfId="0" applyNumberFormat="1" applyFont="1" applyFill="1" applyBorder="1" applyAlignment="1">
      <x:alignment horizontal="center" vertical="center" wrapText="1"/>
    </x:xf>
    <x:xf numFmtId="0" fontId="7" fillId="5" borderId="6" xfId="0" applyNumberFormat="1" applyFont="1" applyFill="1" applyBorder="1" applyAlignment="1">
      <x:alignment horizontal="center" vertical="center" wrapText="1"/>
    </x:xf>
    <x:xf numFmtId="0" fontId="7" fillId="5" borderId="7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8" fillId="6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201" fontId="0" fillId="0" borderId="10" xfId="0" applyNumberFormat="1" applyFont="1" applyFill="1" applyBorder="1" applyAlignment="1">
      <x:alignment horizontal="center"/>
    </x:xf>
    <x:xf numFmtId="201" fontId="0" fillId="0" borderId="11" xfId="0" applyNumberFormat="1" applyFont="1" applyFill="1" applyBorder="1" applyAlignment="1">
      <x:alignment horizontal="center"/>
    </x:xf>
    <x:xf numFmtId="201" fontId="0" fillId="0" borderId="12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13" xfId="0" applyNumberFormat="1" applyFont="1" applyFill="1" applyBorder="1"/>
    <x:xf numFmtId="0" fontId="9" fillId="4" borderId="2" xfId="0" applyNumberFormat="1" applyFont="1" applyFill="1" applyBorder="1"/>
    <x:xf numFmtId="0" fontId="9" fillId="4" borderId="9" xfId="0" applyNumberFormat="1" applyFont="1" applyFill="1" applyBorder="1"/>
    <x:xf numFmtId="0" fontId="9" fillId="4" borderId="8" xfId="0" applyNumberFormat="1" applyFont="1" applyFill="1" applyBorder="1"/>
    <x:xf numFmtId="0" fontId="9" fillId="4" borderId="3" xfId="0" applyNumberFormat="1" applyFont="1" applyFill="1" applyBorder="1"/>
    <x:xf numFmtId="0" fontId="9" fillId="4" borderId="14" xfId="0" applyNumberFormat="1" applyFont="1" applyFill="1" applyBorder="1"/>
    <x:xf numFmtId="0" fontId="9" fillId="4" borderId="4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13" xfId="0" applyNumberFormat="1" applyFont="1" applyFill="1" applyBorder="1" applyAlignment="1">
      <x:alignment wrapText="1"/>
    </x:xf>
    <x:xf numFmtId="0" fontId="9" fillId="4" borderId="2" xfId="0" applyNumberFormat="1" applyFont="1" applyFill="1" applyBorder="1" applyAlignment="1">
      <x:alignment wrapText="1"/>
    </x:xf>
    <x:xf numFmtId="0" fontId="9" fillId="4" borderId="9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wrapText="1"/>
    </x:xf>
    <x:xf numFmtId="0" fontId="9" fillId="4" borderId="8" xfId="0" applyNumberFormat="1" applyFont="1" applyFill="1" applyBorder="1" applyAlignment="1">
      <x:alignment wrapText="1"/>
    </x:xf>
    <x:xf numFmtId="0" fontId="9" fillId="4" borderId="3" xfId="0" applyNumberFormat="1" applyFont="1" applyFill="1" applyBorder="1" applyAlignment="1">
      <x:alignment wrapText="1"/>
    </x:xf>
    <x:xf numFmtId="0" fontId="9" fillId="4" borderId="14" xfId="0" applyNumberFormat="1" applyFont="1" applyFill="1" applyBorder="1" applyAlignment="1">
      <x:alignment wrapText="1"/>
    </x:xf>
    <x:xf numFmtId="0" fontId="9" fillId="4" borderId="4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13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vertical="center" wrapText="1"/>
    </x:xf>
    <x:xf numFmtId="0" fontId="9" fillId="4" borderId="9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8" xfId="0" applyNumberFormat="1" applyFont="1" applyFill="1" applyBorder="1" applyAlignment="1">
      <x:alignment vertical="center" wrapText="1"/>
    </x:xf>
    <x:xf numFmtId="0" fontId="9" fillId="4" borderId="3" xfId="0" applyNumberFormat="1" applyFont="1" applyFill="1" applyBorder="1" applyAlignment="1">
      <x:alignment vertical="center" wrapText="1"/>
    </x:xf>
    <x:xf numFmtId="0" fontId="9" fillId="4" borderId="14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155E91"/>
      </x:font>
      <x:fill>
        <x:patternFill patternType="solid">
          <x:bgColor rgb="FFDCEEFF"/>
        </x:patternFill>
      </x:fill>
    </x:dxf>
    <x:dxf>
      <x:font>
        <x:b/>
        <x:color rgb="FF6542A6"/>
      </x:font>
      <x:fill>
        <x:patternFill patternType="solid">
          <x:bgColor rgb="FFECE4FA"/>
        </x:patternFill>
      </x:fill>
    </x:dxf>
    <x:dxf>
      <x:font>
        <x:b/>
        <x:color rgb="FFA75B00"/>
      </x:font>
      <x:fill>
        <x:patternFill patternType="solid">
          <x:bgColor rgb="FFFFF0D8"/>
        </x:patternFill>
      </x:fill>
    </x:dxf>
    <x:dxf>
      <x:font>
        <x:b/>
        <x:color rgb="FF177245"/>
      </x:font>
      <x:fill>
        <x:patternFill patternType="solid">
          <x:bgColor rgb="FFDDF3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4b954565084c91" /><Relationship Type="http://schemas.openxmlformats.org/officeDocument/2006/relationships/theme" Target="/xl/theme/theme1.xml" Id="Rf4213aed08654646" /><Relationship Type="http://schemas.openxmlformats.org/officeDocument/2006/relationships/sharedStrings" Target="/xl/sharedStrings.xml" Id="Rc386cd3e7edb408d" /><Relationship Type="http://schemas.openxmlformats.org/officeDocument/2006/relationships/worksheet" Target="/xl/worksheets/sheet1.xml" Id="Ra0928a97812644ab" /><Relationship Type="http://schemas.openxmlformats.org/officeDocument/2006/relationships/worksheet" Target="/xl/worksheets/sheet2.xml" Id="Rf048703ecea14ca7" /></Relationships>
</file>

<file path=xl/tables/table1.xml><?xml version="1.0" encoding="utf-8"?>
<x:table xmlns:x="http://schemas.openxmlformats.org/spreadsheetml/2006/main" id="1" name="USAStartupsTable" displayName="USAStartupsTable" ref="A8:I13" headerRowCount="1" totalsRowCount="0" totalsRowShown="0">
  <x:autoFilter ref="A8:I13"/>
  <x:tableColumns count="9">
    <x:tableColumn id="1" name="Category"/>
    <x:tableColumn id="2" name="Company"/>
    <x:tableColumn id="3" name="Founded"/>
    <x:tableColumn id="4" name="Team Size"/>
    <x:tableColumn id="5" name="Under 10?"/>
    <x:tableColumn id="6" name="USA Location"/>
    <x:tableColumn id="7" name="What It Does"/>
    <x:tableColumn id="8" name="Website"/>
    <x:tableColumn id="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rtupSourcesTable" displayName="StartupSourcesTable" ref="A5:F10" headerRowCount="1" totalsRowCount="0" totalsRowShown="0">
  <x:autoFilter ref="A5:F10"/>
  <x:tableColumns count="6">
    <x:tableColumn id="1" name="Company"/>
    <x:tableColumn id="2" name="Primary Category"/>
    <x:tableColumn id="3" name="Reported Team Size"/>
    <x:tableColumn id="4" name="Source URL"/>
    <x:tableColumn id="5" name="Verified On"/>
    <x:tableColumn id="6" name="Verification / Category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e0de40554548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9984850f334b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0" hidden="0" customWidth="1"/>
    <x:col min="4" max="4" width="11" hidden="0" customWidth="1"/>
    <x:col min="5" max="5" width="12" hidden="0" customWidth="1"/>
    <x:col min="6" max="6" width="21" hidden="0" customWidth="1"/>
    <x:col min="7" max="7" width="49" hidden="0" customWidth="1"/>
    <x:col min="8" max="8" width="30" hidden="0" customWidth="1"/>
    <x:col min="9" max="9" width="11" hidden="0" customWidth="1"/>
  </x:cols>
  <x:sheetData>
    <x:row r="1" ht="36" customHeight="1">
      <x:c r="A1" s="3" t="str">
        <x:v>USA Startups with Fewer Than 10 Employees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7" t="str">
        <x:v>Five active U.S. startups, grouped by primary category. Employee count uses the reported Y Combinator team size.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4" t="str">
        <x:v>COMPANIES</x:v>
      </x:c>
      <x:c r="B4" s="15"/>
      <x:c r="D4" s="14" t="str">
        <x:v>AVERAGE TEAM SIZE</x:v>
      </x:c>
      <x:c r="E4" s="15"/>
      <x:c r="G4" s="14" t="str">
        <x:v>ALL UNDER 10</x:v>
      </x:c>
      <x:c r="H4" s="15"/>
    </x:row>
    <x:row r="5" ht="28" customHeight="1">
      <x:c r="A5" s="19" t="n">
        <x:f>COUNTA(B9:B13)</x:f>
        <x:v>5</x:v>
      </x:c>
      <x:c r="B5" s="17"/>
      <x:c r="C5" s="18"/>
      <x:c r="D5" s="21" t="n">
        <x:f>AVERAGE(D9:D13)</x:f>
        <x:v>4.6</x:v>
      </x:c>
      <x:c r="E5" s="17"/>
      <x:c r="F5" s="18"/>
      <x:c r="G5" s="20" t="str">
        <x:f>IF(COUNTIF(E9:E13,"Yes")=COUNTA(B9:B13),"Yes","Check")</x:f>
        <x:v>Yes</x:v>
      </x:c>
      <x:c r="H5" s="17"/>
    </x:row>
    <x:row r="8" ht="28" customHeight="1">
      <x:c r="A8" s="33" t="str">
        <x:v>Category</x:v>
      </x:c>
      <x:c r="B8" s="34" t="str">
        <x:v>Company</x:v>
      </x:c>
      <x:c r="C8" s="34" t="str">
        <x:v>Founded</x:v>
      </x:c>
      <x:c r="D8" s="34" t="str">
        <x:v>Team Size</x:v>
      </x:c>
      <x:c r="E8" s="34" t="str">
        <x:v>Under 10?</x:v>
      </x:c>
      <x:c r="F8" s="34" t="str">
        <x:v>USA Location</x:v>
      </x:c>
      <x:c r="G8" s="34" t="str">
        <x:v>What It Does</x:v>
      </x:c>
      <x:c r="H8" s="34" t="str">
        <x:v>Website</x:v>
      </x:c>
      <x:c r="I8" s="35" t="str">
        <x:v>Status</x:v>
      </x:c>
    </x:row>
    <x:row r="9" ht="44" customHeight="1">
      <x:c r="A9" s="36" t="str">
        <x:v>Web</x:v>
      </x:c>
      <x:c r="B9" s="37" t="str">
        <x:v>BrowserOS</x:v>
      </x:c>
      <x:c r="C9" s="40" t="n">
        <x:v>2024</x:v>
      </x:c>
      <x:c r="D9" s="40" t="n">
        <x:v>4</x:v>
      </x:c>
      <x:c r="E9" s="38" t="str">
        <x:f>IF(D9&lt;10,"Yes","No")</x:f>
        <x:v>Yes</x:v>
      </x:c>
      <x:c r="F9" s="18" t="str">
        <x:v>San Francisco, CA</x:v>
      </x:c>
      <x:c r="G9" s="39" t="str">
        <x:v>Open-source, privacy-first browser that runs AI agents locally.</x:v>
      </x:c>
      <x:c r="H9" s="39" t="str">
        <x:v>https://browseros.com/</x:v>
      </x:c>
      <x:c r="I9" s="38" t="str">
        <x:v>Active</x:v>
      </x:c>
    </x:row>
    <x:row r="10" ht="44" customHeight="1">
      <x:c r="A10" s="36" t="str">
        <x:v>Web</x:v>
      </x:c>
      <x:c r="B10" s="37" t="str">
        <x:v>Streamable</x:v>
      </x:c>
      <x:c r="C10" s="40" t="n">
        <x:v>2024</x:v>
      </x:c>
      <x:c r="D10" s="40" t="n">
        <x:v>4</x:v>
      </x:c>
      <x:c r="E10" s="38" t="str">
        <x:f>IF(D10&lt;10,"Yes","No")</x:f>
        <x:v>Yes</x:v>
      </x:c>
      <x:c r="F10" s="18" t="str">
        <x:v>San Francisco, CA</x:v>
      </x:c>
      <x:c r="G10" s="39" t="str">
        <x:v>Cloud-hosted streaming servers that keep IRL livestreams online through poor connections.</x:v>
      </x:c>
      <x:c r="H10" s="39" t="str">
        <x:v>https://streamable.run</x:v>
      </x:c>
      <x:c r="I10" s="38" t="str">
        <x:v>Active</x:v>
      </x:c>
    </x:row>
    <x:row r="11" ht="44" customHeight="1">
      <x:c r="A11" s="36" t="str">
        <x:v>Software</x:v>
      </x:c>
      <x:c r="B11" s="37" t="str">
        <x:v>Complete</x:v>
      </x:c>
      <x:c r="C11" s="40" t="n">
        <x:v>2021</x:v>
      </x:c>
      <x:c r="D11" s="40" t="n">
        <x:v>5</x:v>
      </x:c>
      <x:c r="E11" s="38" t="str">
        <x:f>IF(D11&lt;10,"Yes","No")</x:f>
        <x:v>Yes</x:v>
      </x:c>
      <x:c r="F11" s="18" t="str">
        <x:v>San Francisco, CA</x:v>
      </x:c>
      <x:c r="G11" s="39" t="str">
        <x:v>B2B compensation software with interactive offer letters.</x:v>
      </x:c>
      <x:c r="H11" s="39" t="str">
        <x:v>https://complete.so</x:v>
      </x:c>
      <x:c r="I11" s="38" t="str">
        <x:v>Active</x:v>
      </x:c>
    </x:row>
    <x:row r="12" ht="44" customHeight="1">
      <x:c r="A12" s="36" t="str">
        <x:v>Software</x:v>
      </x:c>
      <x:c r="B12" s="37" t="str">
        <x:v>Paradigm</x:v>
      </x:c>
      <x:c r="C12" s="40" t="n">
        <x:v>2024</x:v>
      </x:c>
      <x:c r="D12" s="40" t="n">
        <x:v>8</x:v>
      </x:c>
      <x:c r="E12" s="38" t="str">
        <x:f>IF(D12&lt;10,"Yes","No")</x:f>
        <x:v>Yes</x:v>
      </x:c>
      <x:c r="F12" s="18" t="str">
        <x:v>San Francisco, CA</x:v>
      </x:c>
      <x:c r="G12" s="39" t="str">
        <x:v>AI-native spreadsheet workspace for structured-data workflows and agent orchestration.</x:v>
      </x:c>
      <x:c r="H12" s="39" t="str">
        <x:v>https://www.paradigmai.com/</x:v>
      </x:c>
      <x:c r="I12" s="38" t="str">
        <x:v>Active</x:v>
      </x:c>
    </x:row>
    <x:row r="13" ht="44" customHeight="1">
      <x:c r="A13" s="36" t="str">
        <x:v>AI</x:v>
      </x:c>
      <x:c r="B13" s="37" t="str">
        <x:v>Fenrock AI</x:v>
      </x:c>
      <x:c r="C13" s="40" t="n">
        <x:v>2026</x:v>
      </x:c>
      <x:c r="D13" s="40" t="n">
        <x:v>2</x:v>
      </x:c>
      <x:c r="E13" s="38" t="str">
        <x:f>IF(D13&lt;10,"Yes","No")</x:f>
        <x:v>Yes</x:v>
      </x:c>
      <x:c r="F13" s="18" t="str">
        <x:v>San Francisco, CA</x:v>
      </x:c>
      <x:c r="G13" s="39" t="str">
        <x:v>Specialized AI agents that automate back-office work for banks.</x:v>
      </x:c>
      <x:c r="H13" s="39" t="str">
        <x:v>https://fenrock.ai/</x:v>
      </x:c>
      <x:c r="I13" s="38" t="str">
        <x:v>Active</x:v>
      </x:c>
    </x:row>
    <x:row r="16">
      <x:c r="A16" s="42" t="str">
        <x:v>Category Summary</x:v>
      </x:c>
      <x:c r="B16" s="42"/>
      <x:c r="C16" s="42"/>
      <x:c r="D16" s="42" t="str">
        <x:v>Selection Note</x:v>
      </x:c>
      <x:c r="E16" s="42"/>
      <x:c r="F16" s="42"/>
      <x:c r="G16" s="42"/>
      <x:c r="H16" s="42"/>
      <x:c r="I16" s="42"/>
    </x:row>
    <x:row r="17">
      <x:c r="A17" s="45" t="str">
        <x:v>Category</x:v>
      </x:c>
      <x:c r="B17" s="50" t="str">
        <x:v>Count</x:v>
      </x:c>
      <x:c r="D17" s="75" t="str">
        <x:v>Categories are organizational labels based on each company’s primary product. Some startups overlap categories. Team sizes can change quickly; use the dated source sheet before outreach or analysis.</x:v>
      </x:c>
      <x:c r="E17" s="76"/>
      <x:c r="F17" s="76"/>
      <x:c r="G17" s="76"/>
      <x:c r="H17" s="76"/>
      <x:c r="I17" s="77"/>
    </x:row>
    <x:row r="18">
      <x:c r="A18" s="47" t="str">
        <x:v>Web</x:v>
      </x:c>
      <x:c r="B18" s="54" t="n">
        <x:f>COUNTIF($A$9:$A$13,A18)</x:f>
        <x:v>2</x:v>
      </x:c>
      <x:c r="D18" s="78"/>
      <x:c r="E18" s="79"/>
      <x:c r="F18" s="79"/>
      <x:c r="G18" s="79"/>
      <x:c r="H18" s="79"/>
      <x:c r="I18" s="80"/>
    </x:row>
    <x:row r="19">
      <x:c r="A19" s="48" t="str">
        <x:v>Software</x:v>
      </x:c>
      <x:c r="B19" s="55" t="n">
        <x:f>COUNTIF($A$9:$A$13,A19)</x:f>
        <x:v>2</x:v>
      </x:c>
      <x:c r="D19" s="78"/>
      <x:c r="E19" s="79"/>
      <x:c r="F19" s="79"/>
      <x:c r="G19" s="79"/>
      <x:c r="H19" s="79"/>
      <x:c r="I19" s="80"/>
    </x:row>
    <x:row r="20">
      <x:c r="A20" s="49" t="str">
        <x:v>AI</x:v>
      </x:c>
      <x:c r="B20" s="56" t="n">
        <x:f>COUNTIF($A$9:$A$13,A20)</x:f>
        <x:v>1</x:v>
      </x:c>
      <x:c r="D20" s="81"/>
      <x:c r="E20" s="82"/>
      <x:c r="F20" s="82"/>
      <x:c r="G20" s="82"/>
      <x:c r="H20" s="82"/>
      <x:c r="I20" s="83"/>
    </x:row>
  </x:sheetData>
  <x:mergeCells>
    <x:mergeCell ref="A1:I1"/>
    <x:mergeCell ref="A2:I2"/>
    <x:mergeCell ref="A5:B5"/>
    <x:mergeCell ref="D5:E5"/>
    <x:mergeCell ref="G5:H5"/>
    <x:mergeCell ref="A16:C16"/>
    <x:mergeCell ref="D16:I16"/>
    <x:mergeCell ref="D17:I20"/>
  </x:mergeCells>
  <x:conditionalFormatting sqref="A9:A13">
    <x:cfRule type="containsText" dxfId="0" priority="1" operator="containsText" text="Web"/>
    <x:cfRule type="containsText" dxfId="1" priority="2" operator="containsText" text="Software"/>
    <x:cfRule type="containsText" dxfId="2" priority="3" operator="containsText" text="AI"/>
  </x:conditionalFormatting>
  <x:conditionalFormatting sqref="E9:E13">
    <x:cfRule type="containsText" dxfId="3" priority="4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2ce0de405545485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2" hidden="0" customWidth="1"/>
    <x:col min="5" max="5" width="15" hidden="0" customWidth="1"/>
    <x:col min="6" max="6" width="60" hidden="0" customWidth="1"/>
  </x:cols>
  <x:sheetData>
    <x:row r="1" ht="34" customHeight="1">
      <x:c r="A1" s="85" t="str">
        <x:v>Sources &amp; Verification Notes</x:v>
      </x:c>
      <x:c r="B1" s="85"/>
      <x:c r="C1" s="85"/>
      <x:c r="D1" s="85"/>
      <x:c r="E1" s="85"/>
      <x:c r="F1" s="85"/>
    </x:row>
    <x:row r="2" ht="28" customHeight="1">
      <x:c r="A2" s="7" t="str">
        <x:v>Verified July 30, 2026. Each source profile reports the company as Active, its exact team size, and San Francisco location.</x:v>
      </x:c>
      <x:c r="B2" s="7"/>
      <x:c r="C2" s="7"/>
      <x:c r="D2" s="7"/>
      <x:c r="E2" s="7"/>
      <x:c r="F2" s="7"/>
    </x:row>
    <x:row r="5" ht="30" customHeight="1">
      <x:c r="A5" s="88" t="str">
        <x:v>Company</x:v>
      </x:c>
      <x:c r="B5" s="88" t="str">
        <x:v>Primary Category</x:v>
      </x:c>
      <x:c r="C5" s="88" t="str">
        <x:v>Reported Team Size</x:v>
      </x:c>
      <x:c r="D5" s="88" t="str">
        <x:v>Source URL</x:v>
      </x:c>
      <x:c r="E5" s="88" t="str">
        <x:v>Verified On</x:v>
      </x:c>
      <x:c r="F5" s="88" t="str">
        <x:v>Verification / Category Note</x:v>
      </x:c>
    </x:row>
    <x:row r="6" ht="48" customHeight="1">
      <x:c r="A6" s="37" t="str">
        <x:v>BrowserOS</x:v>
      </x:c>
      <x:c r="B6" s="36" t="str">
        <x:v>Web</x:v>
      </x:c>
      <x:c r="C6" s="40" t="n">
        <x:v>4</x:v>
      </x:c>
      <x:c r="D6" s="39" t="str">
        <x:v>https://www.ycombinator.com/companies/browseros</x:v>
      </x:c>
      <x:c r="E6" s="90" t="n">
        <x:v>46233</x:v>
      </x:c>
      <x:c r="F6" s="39" t="str">
        <x:v>YC: Active; Team Size 4; San Francisco. Categorized Web because the core product is a browser.</x:v>
      </x:c>
    </x:row>
    <x:row r="7" ht="48" customHeight="1">
      <x:c r="A7" s="37" t="str">
        <x:v>Streamable</x:v>
      </x:c>
      <x:c r="B7" s="36" t="str">
        <x:v>Web</x:v>
      </x:c>
      <x:c r="C7" s="40" t="n">
        <x:v>4</x:v>
      </x:c>
      <x:c r="D7" s="39" t="str">
        <x:v>https://www.ycombinator.com/companies/streamable</x:v>
      </x:c>
      <x:c r="E7" s="90" t="n">
        <x:v>46233</x:v>
      </x:c>
      <x:c r="F7" s="39" t="str">
        <x:v>YC: Active; Team Size 4; San Francisco. Categorized Web because it powers web livestreaming infrastructure.</x:v>
      </x:c>
    </x:row>
    <x:row r="8" ht="48" customHeight="1">
      <x:c r="A8" s="37" t="str">
        <x:v>Complete</x:v>
      </x:c>
      <x:c r="B8" s="36" t="str">
        <x:v>Software</x:v>
      </x:c>
      <x:c r="C8" s="40" t="n">
        <x:v>5</x:v>
      </x:c>
      <x:c r="D8" s="39" t="str">
        <x:v>https://www.ycombinator.com/companies/complete</x:v>
      </x:c>
      <x:c r="E8" s="90" t="n">
        <x:v>46233</x:v>
      </x:c>
      <x:c r="F8" s="39" t="str">
        <x:v>YC: Active; Team Size 5; San Francisco. Categorized Software as B2B HR/compensation SaaS.</x:v>
      </x:c>
    </x:row>
    <x:row r="9" ht="48" customHeight="1">
      <x:c r="A9" s="37" t="str">
        <x:v>Paradigm</x:v>
      </x:c>
      <x:c r="B9" s="36" t="str">
        <x:v>Software</x:v>
      </x:c>
      <x:c r="C9" s="40" t="n">
        <x:v>8</x:v>
      </x:c>
      <x:c r="D9" s="39" t="str">
        <x:v>https://www.ycombinator.com/companies/paradigm</x:v>
      </x:c>
      <x:c r="E9" s="90" t="n">
        <x:v>46233</x:v>
      </x:c>
      <x:c r="F9" s="39" t="str">
        <x:v>YC: Active; Team Size 8; San Francisco. Categorized Software as an AI-native spreadsheet workspace.</x:v>
      </x:c>
    </x:row>
    <x:row r="10" ht="48" customHeight="1">
      <x:c r="A10" s="37" t="str">
        <x:v>Fenrock AI</x:v>
      </x:c>
      <x:c r="B10" s="36" t="str">
        <x:v>AI</x:v>
      </x:c>
      <x:c r="C10" s="40" t="n">
        <x:v>2</x:v>
      </x:c>
      <x:c r="D10" s="39" t="str">
        <x:v>https://www.ycombinator.com/companies/fenrock-ai</x:v>
      </x:c>
      <x:c r="E10" s="90" t="n">
        <x:v>46233</x:v>
      </x:c>
      <x:c r="F10" s="39" t="str">
        <x:v>YC: Active; Team Size 2; San Francisco. Categorized AI because it builds specialized AI agents for banks.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79984850f334b3d"/>
  </x:tableParts>
</x:worksheet>
</file>